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roject\ic\ecat\ecat_doc\后端文件\"/>
    </mc:Choice>
  </mc:AlternateContent>
  <xr:revisionPtr revIDLastSave="0" documentId="13_ncr:1_{61A1523E-F6AF-4761-927B-DDD7D5DD6002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1100 io plan" sheetId="4" r:id="rId1"/>
    <sheet name="QFN64(EC2216)8X8" sheetId="12" r:id="rId2"/>
    <sheet name="QFN32(EC2277)5X5" sheetId="11" r:id="rId3"/>
    <sheet name="IO Plan 修改方案" sheetId="18" r:id="rId4"/>
    <sheet name="Pin List" sheetId="13" r:id="rId5"/>
    <sheet name="64pin" sheetId="14" r:id="rId6"/>
    <sheet name="32pin" sheetId="16" r:id="rId7"/>
    <sheet name="48pin" sheetId="19" r:id="rId8"/>
    <sheet name="128pin" sheetId="17" r:id="rId9"/>
  </sheets>
  <definedNames>
    <definedName name="_xlnm._FilterDatabase" localSheetId="4" hidden="1">'Pin List'!$A$2:$L$124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0" i="18" l="1"/>
  <c r="AN39" i="18" s="1"/>
  <c r="AN38" i="18" s="1"/>
  <c r="AN37" i="18" s="1"/>
  <c r="AN36" i="18" s="1"/>
  <c r="AN35" i="18" s="1"/>
  <c r="AN34" i="18" s="1"/>
  <c r="AN33" i="18" s="1"/>
  <c r="AN32" i="18" s="1"/>
  <c r="AN31" i="18" s="1"/>
  <c r="AN30" i="18" s="1"/>
  <c r="AN29" i="18" s="1"/>
  <c r="AN28" i="18" s="1"/>
  <c r="AN27" i="18" s="1"/>
  <c r="AN26" i="18" s="1"/>
  <c r="AN25" i="18" s="1"/>
  <c r="AN24" i="18" s="1"/>
  <c r="AN23" i="18" s="1"/>
  <c r="AN22" i="18" s="1"/>
  <c r="AN21" i="18" s="1"/>
  <c r="AN20" i="18" s="1"/>
  <c r="AN19" i="18" s="1"/>
  <c r="AN18" i="18" s="1"/>
  <c r="AN17" i="18" s="1"/>
  <c r="AN16" i="18" s="1"/>
  <c r="AN15" i="18" s="1"/>
  <c r="AN14" i="18" s="1"/>
  <c r="AN13" i="18" s="1"/>
  <c r="AN12" i="18" s="1"/>
  <c r="AN11" i="18" s="1"/>
  <c r="AP27" i="18"/>
  <c r="B23" i="18"/>
  <c r="B22" i="18"/>
  <c r="AL10" i="18"/>
  <c r="AK10" i="18"/>
  <c r="AJ10" i="18" s="1"/>
  <c r="AI10" i="18" s="1"/>
  <c r="AH10" i="18" s="1"/>
  <c r="AG10" i="18" s="1"/>
  <c r="AF10" i="18" s="1"/>
  <c r="AE10" i="18" s="1"/>
  <c r="AD10" i="18" s="1"/>
  <c r="AC10" i="18" s="1"/>
  <c r="AB10" i="18" s="1"/>
  <c r="AA10" i="18" s="1"/>
  <c r="Z10" i="18" s="1"/>
  <c r="Y10" i="18" s="1"/>
  <c r="X10" i="18" s="1"/>
  <c r="W10" i="18" s="1"/>
  <c r="V10" i="18" s="1"/>
  <c r="U10" i="18" s="1"/>
  <c r="T10" i="18" s="1"/>
  <c r="S10" i="18" s="1"/>
  <c r="R10" i="18" s="1"/>
  <c r="Q10" i="18" s="1"/>
  <c r="P10" i="18" s="1"/>
  <c r="O10" i="18" s="1"/>
  <c r="N10" i="18" s="1"/>
  <c r="M10" i="18" s="1"/>
  <c r="L10" i="18" s="1"/>
  <c r="K10" i="18" s="1"/>
  <c r="J10" i="18" s="1"/>
  <c r="AD7" i="18"/>
  <c r="AC7" i="18" s="1"/>
  <c r="Y3" i="18"/>
  <c r="AT44" i="17"/>
  <c r="AT43" i="17" s="1"/>
  <c r="AT42" i="17" s="1"/>
  <c r="AT41" i="17" s="1"/>
  <c r="AT40" i="17" s="1"/>
  <c r="AT39" i="17" s="1"/>
  <c r="AT38" i="17" s="1"/>
  <c r="AT37" i="17" s="1"/>
  <c r="AT36" i="17" s="1"/>
  <c r="AT35" i="17" s="1"/>
  <c r="AT34" i="17" s="1"/>
  <c r="AT33" i="17" s="1"/>
  <c r="AT32" i="17" s="1"/>
  <c r="AT31" i="17" s="1"/>
  <c r="AT30" i="17" s="1"/>
  <c r="AT29" i="17" s="1"/>
  <c r="AT28" i="17" s="1"/>
  <c r="AT27" i="17" s="1"/>
  <c r="AT26" i="17" s="1"/>
  <c r="AT25" i="17" s="1"/>
  <c r="AT24" i="17" s="1"/>
  <c r="AT23" i="17" s="1"/>
  <c r="AT22" i="17" s="1"/>
  <c r="AT21" i="17" s="1"/>
  <c r="AT20" i="17" s="1"/>
  <c r="AT19" i="17" s="1"/>
  <c r="AT18" i="17" s="1"/>
  <c r="AT17" i="17" s="1"/>
  <c r="AT16" i="17" s="1"/>
  <c r="AT15" i="17" s="1"/>
  <c r="AR14" i="17"/>
  <c r="AQ14" i="17" s="1"/>
  <c r="AP14" i="17" s="1"/>
  <c r="AO14" i="17" s="1"/>
  <c r="AN14" i="17" s="1"/>
  <c r="AM14" i="17" s="1"/>
  <c r="AL14" i="17" s="1"/>
  <c r="AK14" i="17" s="1"/>
  <c r="AJ14" i="17" s="1"/>
  <c r="AI14" i="17" s="1"/>
  <c r="AH14" i="17" s="1"/>
  <c r="AG14" i="17" s="1"/>
  <c r="AF14" i="17" s="1"/>
  <c r="AE14" i="17" s="1"/>
  <c r="AD14" i="17" s="1"/>
  <c r="AC14" i="17" s="1"/>
  <c r="AB14" i="17" s="1"/>
  <c r="AA14" i="17" s="1"/>
  <c r="Z14" i="17" s="1"/>
  <c r="Y14" i="17" s="1"/>
  <c r="X14" i="17" s="1"/>
  <c r="W14" i="17" s="1"/>
  <c r="V14" i="17" s="1"/>
  <c r="U14" i="17" s="1"/>
  <c r="T14" i="17" s="1"/>
  <c r="S14" i="17" s="1"/>
  <c r="R14" i="17" s="1"/>
  <c r="Q14" i="17" s="1"/>
  <c r="P14" i="17" s="1"/>
  <c r="J109" i="13"/>
  <c r="D105" i="13"/>
  <c r="D10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tc={FDA8E786-59CF-4279-90F0-1C71C2ACD6E0}</author>
  </authors>
  <commentList>
    <comment ref="E40" authorId="0" shapeId="0" xr:uid="{FDA8E786-59CF-4279-90F0-1C71C2ACD6E0}">
      <text>
        <t>[线程批注]
你的Excel版本可读取此线程批注; 但如果在更新版本的Excel中打开文件，则对批注所作的任何改动都将被删除。了解详细信息: https://go.microsoft.com/fwlink/?linkid=870924
注释:
    每种信号的引脚要分类放到一起；MII0的信号要放到MII0附近，PDI信号应该和PDI信号引脚附近；（这个信号没用不能引出）</t>
      </text>
    </comment>
  </commentList>
</comments>
</file>

<file path=xl/sharedStrings.xml><?xml version="1.0" encoding="utf-8"?>
<sst xmlns="http://schemas.openxmlformats.org/spreadsheetml/2006/main" count="1820" uniqueCount="444">
  <si>
    <t>TESTMODE</t>
  </si>
  <si>
    <t>EBUS{1}-RX-/LINK_MII</t>
  </si>
  <si>
    <t>PDI[17]/RX_D[3]</t>
  </si>
  <si>
    <t>EBUS{1}-RX+/RX_ERR</t>
  </si>
  <si>
    <t>PDI[16]/RX_D[2]</t>
  </si>
  <si>
    <t>PDI[15]/RX_D[1]</t>
  </si>
  <si>
    <t>EBUS{0}-TX+</t>
  </si>
  <si>
    <t>PDI[14]/RX_D[0]</t>
  </si>
  <si>
    <t>PDI[12]/RX_CLK</t>
  </si>
  <si>
    <t>EBUS{0}-RX-</t>
  </si>
  <si>
    <t>EBUS{0}-RX+</t>
  </si>
  <si>
    <t>PDI[10]/TX_D[2]/C25_SHI[0]</t>
  </si>
  <si>
    <t>EBUS{1}-TX-/MI_CLK</t>
  </si>
  <si>
    <t>PDI[9]/TX_D[1]/C25_ENA</t>
  </si>
  <si>
    <t>EBUS{1}-TX+/TX_ENA</t>
  </si>
  <si>
    <t>PDI[8]/TX_D[0]/PHYAD_OFF</t>
  </si>
  <si>
    <t>PERR(0)/CLK_MODE[0]</t>
  </si>
  <si>
    <t>PDI[7]/CPU_CLK</t>
  </si>
  <si>
    <t>PERR(1)/CLK_MODE[1]</t>
  </si>
  <si>
    <t>PDI[6]/CLK25OUT</t>
  </si>
  <si>
    <t>VCC</t>
  </si>
  <si>
    <t>PDI[5]</t>
  </si>
  <si>
    <t>GND</t>
  </si>
  <si>
    <t>PDI[4]</t>
  </si>
  <si>
    <t>LINKACT(0)/MODE[0]</t>
  </si>
  <si>
    <t>LINKACT(1)/MODE[1]</t>
  </si>
  <si>
    <t>GNDCore</t>
  </si>
  <si>
    <t>RUN/EEPROM_SIZE</t>
  </si>
  <si>
    <t>PDI[3]</t>
  </si>
  <si>
    <t>EEPROM_CLK</t>
  </si>
  <si>
    <t>PDI[2]</t>
  </si>
  <si>
    <t>EEPROM_DATA</t>
  </si>
  <si>
    <t>PDI[1]</t>
  </si>
  <si>
    <t>OSC_IN</t>
  </si>
  <si>
    <t>PDI[0]</t>
  </si>
  <si>
    <t>SYNC/LATCH[0]</t>
  </si>
  <si>
    <t>GNDPLL</t>
  </si>
  <si>
    <t>SYNC/LATCH[1]/MI_DATA</t>
  </si>
  <si>
    <t>PDI[27]/RX_DV(3)/LVDS(3)-RX-</t>
  </si>
  <si>
    <t>PDI[29]/RX_D(3)[1]/LVDS(3)-RX+</t>
  </si>
  <si>
    <t>TX_D(2)[1]/LVDS(2)-TX-</t>
  </si>
  <si>
    <t>TX_ENA(2)/LVDS(2)-TX+</t>
  </si>
  <si>
    <t>PDI[33]/TX_D(2)[2]</t>
  </si>
  <si>
    <t>RX_DV(2)/LVDS(2)-RX-</t>
  </si>
  <si>
    <t xml:space="preserve">PDI[31]/CLK25OUT2 </t>
  </si>
  <si>
    <t>RX_D(2)[1]/LVDS(2)-RX+</t>
  </si>
  <si>
    <t>LINKACT(2)/P_CONF[2]</t>
  </si>
  <si>
    <t>TX_D(1)[1]/LVDS(1)-TX-</t>
  </si>
  <si>
    <t>PDI[32]/TX_D(2)[3]</t>
  </si>
  <si>
    <t>TX_ENA(1)/LVDS(1)-TX+</t>
  </si>
  <si>
    <t>PDI[34]/TX_D(2)[0]/CTRL_STATUS_MOVE</t>
  </si>
  <si>
    <t>RX_DV(1)/LVDS(1)-RX-</t>
  </si>
  <si>
    <t>RX_D(1)[1]/LVDS(1)-RX+</t>
  </si>
  <si>
    <t>LINK_MII(2)/CLK25OUT1</t>
  </si>
  <si>
    <t>TX_D(0)[1]/LVDS(0)-TX-</t>
  </si>
  <si>
    <t>TX_ENA(0)/LVDS(0)-TX+</t>
  </si>
  <si>
    <t>PDI[35]/RX_ERR(2)</t>
  </si>
  <si>
    <t>PDI[36]/RX_CLK(2)</t>
  </si>
  <si>
    <t>RX_DV(0)/LVDS(0)-RX-</t>
  </si>
  <si>
    <t>RX_D(0)[1]/LVDS(0)-RX+</t>
  </si>
  <si>
    <t>PDI[24]/TX_D(3)[1]/LVDS(3)-TX-</t>
  </si>
  <si>
    <t>PDI[37]/RX_D(2)[0]</t>
  </si>
  <si>
    <t>PDI[26]/TX_ENA(3)/LVDS(3)-TX+</t>
  </si>
  <si>
    <t>PDI[39]/RX_D(2)[3]</t>
  </si>
  <si>
    <t>PDI[38]/RX_D(2)[2]</t>
  </si>
  <si>
    <t>LINKACT(1)/P_CONF(1)</t>
  </si>
  <si>
    <t>PERR(1)/TRANS(1)/CLK_MODE(1)</t>
  </si>
  <si>
    <t>TX_D(1)[2]/P_MODE[0]</t>
  </si>
  <si>
    <t>LINK_MII(1)</t>
  </si>
  <si>
    <t>TX_D(1)[3]/P_MODE[1]</t>
  </si>
  <si>
    <t>TX_D(1)[0]/TRANS_MODE_ENA</t>
  </si>
  <si>
    <t>RX_CLK(1)</t>
  </si>
  <si>
    <t>RX_D(1)[0]</t>
  </si>
  <si>
    <t>RX_D(1)[2]</t>
  </si>
  <si>
    <t>RX_ERR(1)</t>
  </si>
  <si>
    <t>RX_D(1)[3]</t>
  </si>
  <si>
    <t>TX_D(0)[3]/C25_SHI[1]</t>
  </si>
  <si>
    <t>TX_D(0)[2]/C25_SHI[0]</t>
  </si>
  <si>
    <t>TX_D(0)[0]/C25_ENA</t>
  </si>
  <si>
    <t>RX_ERR(0)</t>
  </si>
  <si>
    <t>LINK_MII(0)</t>
  </si>
  <si>
    <t>RX_CLK(0)</t>
  </si>
  <si>
    <t>RX_D(0)[2]</t>
  </si>
  <si>
    <t>RX_D(0)[0]</t>
  </si>
  <si>
    <t>MI_CLK/LINKPOL</t>
  </si>
  <si>
    <t>RX_D(0)[3]</t>
  </si>
  <si>
    <t>PERR(0)/TRANS(0)/CLK_MODE[0]</t>
  </si>
  <si>
    <t>MI_DATA</t>
  </si>
  <si>
    <t>LINKACT(0)/P_CONF[0]</t>
  </si>
  <si>
    <t>RESET</t>
  </si>
  <si>
    <t>SYNC/LATCH[1]</t>
  </si>
  <si>
    <t>PDI[6]</t>
  </si>
  <si>
    <t>PDI[9]</t>
  </si>
  <si>
    <t>PDI[11]</t>
  </si>
  <si>
    <t>PDI[8]</t>
  </si>
  <si>
    <t>PDI[13]</t>
  </si>
  <si>
    <t>PDI[10]</t>
  </si>
  <si>
    <t>PDI[15]</t>
  </si>
  <si>
    <t>PDI[12]</t>
  </si>
  <si>
    <t>PDI[14]</t>
  </si>
  <si>
    <t>PDI[17]/RX_CLK(3)</t>
  </si>
  <si>
    <t>PDI[16]/RX_ERR(3)</t>
  </si>
  <si>
    <t>PDI[18]/RX_D(3)[0]</t>
  </si>
  <si>
    <t>PDI[19]/RX_D(3)[2]</t>
  </si>
  <si>
    <t>PDI[20]/RX_D(3)[3]</t>
  </si>
  <si>
    <t xml:space="preserve">PDI[21]/LINK_MII(3) </t>
  </si>
  <si>
    <t>PDI[22]/TX_D(3)[3]</t>
  </si>
  <si>
    <t>PDI[23]/TX_D(3)[2]</t>
  </si>
  <si>
    <t xml:space="preserve">PDI[25]/TX_D(3)[0] </t>
  </si>
  <si>
    <t>PDI[28]/PERR(3)/TRANS(3)</t>
  </si>
  <si>
    <t>PERR(2)/TRANS(2)/PHYAD_OFF</t>
  </si>
  <si>
    <t>Res. [0]</t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</si>
  <si>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</si>
  <si>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</si>
  <si>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(I/O)(T0)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</si>
  <si>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(I/O)(T1)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</si>
  <si>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(Core)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</si>
  <si>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(Core)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</si>
  <si>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(I/O)(T2)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</si>
  <si>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(I/O)(T3)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</si>
  <si>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(PLL)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</si>
  <si>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(PLL)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</si>
  <si>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(Core)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</si>
  <si>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(Core)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</si>
  <si>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t>VCC(Core)</t>
    <phoneticPr fontId="1" type="noConversion"/>
  </si>
  <si>
    <t>GND(Core)</t>
    <phoneticPr fontId="1" type="noConversion"/>
  </si>
  <si>
    <t>EBUS{0}-TX</t>
  </si>
  <si>
    <t>VCC I/O</t>
    <phoneticPr fontId="1" type="noConversion"/>
  </si>
  <si>
    <t>GNDI/O</t>
    <phoneticPr fontId="1" type="noConversion"/>
  </si>
  <si>
    <t>N/A</t>
    <phoneticPr fontId="1" type="noConversion"/>
  </si>
  <si>
    <t>OSC_IN</t>
    <phoneticPr fontId="1" type="noConversion"/>
  </si>
  <si>
    <t>VccPLL (2,5V)</t>
  </si>
  <si>
    <t>Reset</t>
    <phoneticPr fontId="1" type="noConversion"/>
  </si>
  <si>
    <t>PDI[13]/RX_DV</t>
    <phoneticPr fontId="1" type="noConversion"/>
  </si>
  <si>
    <t>PDI[11]/TX_D[3]/C25_SHI[1]</t>
    <phoneticPr fontId="1" type="noConversion"/>
  </si>
  <si>
    <t>Res. [2]</t>
    <phoneticPr fontId="1" type="noConversion"/>
  </si>
  <si>
    <t>PDI[0]</t>
    <phoneticPr fontId="1" type="noConversion"/>
  </si>
  <si>
    <t>VCC Core (2,5V)</t>
  </si>
  <si>
    <t>PDI[30]/LINKACT(3)/P_CONF(3)</t>
    <phoneticPr fontId="1" type="noConversion"/>
  </si>
  <si>
    <t/>
  </si>
  <si>
    <t>Reset (act. low)</t>
  </si>
  <si>
    <t>GND PLL</t>
  </si>
  <si>
    <t>E²PROM DATA</t>
  </si>
  <si>
    <t>GND Core</t>
  </si>
  <si>
    <t>E²PROM CLK</t>
  </si>
  <si>
    <t>RUN</t>
  </si>
  <si>
    <t>Vcc I/O</t>
  </si>
  <si>
    <t>GND I/O</t>
  </si>
  <si>
    <t>SPI_IRQ</t>
  </si>
  <si>
    <t>SPI_DO</t>
  </si>
  <si>
    <t>SPI_DI</t>
  </si>
  <si>
    <t>SPI_SEL</t>
  </si>
  <si>
    <t>SPI_CLK</t>
  </si>
  <si>
    <t>RESET (act. low)</t>
  </si>
  <si>
    <t>EEPROM CLK</t>
  </si>
  <si>
    <t>EEPROM DATA</t>
  </si>
  <si>
    <t>MI_CLK</t>
  </si>
  <si>
    <t>LATCH[0]</t>
  </si>
  <si>
    <t>LATCH[1]</t>
  </si>
  <si>
    <t>RUN (act. high)</t>
  </si>
  <si>
    <t>EEPROM_Loaded</t>
  </si>
  <si>
    <t>TX_ENA(0)</t>
  </si>
  <si>
    <t>TX_D(0)[0]</t>
  </si>
  <si>
    <t>TX_D(0)[1]</t>
  </si>
  <si>
    <t>TX_D(0)[2]</t>
  </si>
  <si>
    <t>TX_D(0)[3]</t>
  </si>
  <si>
    <t>RX_D(0)[1]</t>
  </si>
  <si>
    <t>RX_DV(0)</t>
  </si>
  <si>
    <t>PERR(0) (act. high)</t>
    <phoneticPr fontId="1" type="noConversion"/>
  </si>
  <si>
    <t>LinkAct(0) (act. low)</t>
  </si>
  <si>
    <t>TX_ENA(1)</t>
  </si>
  <si>
    <t>TX_D(1)[0]</t>
  </si>
  <si>
    <t>TX_D(1)[1]</t>
  </si>
  <si>
    <t>TX_D(1)[2]</t>
  </si>
  <si>
    <t>TX_D(1)[3]</t>
  </si>
  <si>
    <t>RX_D(1)[1]</t>
  </si>
  <si>
    <t>RX_DV(1)</t>
  </si>
  <si>
    <t>PERR(1) (act. high)</t>
  </si>
  <si>
    <t>LinkAct(1) (act. low)</t>
  </si>
  <si>
    <t>EBUS(2)-TX+</t>
  </si>
  <si>
    <t>EBUS(2)-TX-</t>
  </si>
  <si>
    <t>EBUS(2)-RX-</t>
  </si>
  <si>
    <t>EBUS(2)-RX+</t>
  </si>
  <si>
    <t>PERR(2) (act. high)</t>
  </si>
  <si>
    <t>LinkAct(2) (act. high)</t>
  </si>
  <si>
    <t>CLK25_OUT1</t>
  </si>
  <si>
    <t>LinkAct(0)</t>
  </si>
  <si>
    <t>LinkAct(1)</t>
  </si>
  <si>
    <t>EBUS(1)-RX-</t>
  </si>
  <si>
    <t>EBUS(1)-RX+</t>
  </si>
  <si>
    <t>EBUS(1)-TX-</t>
  </si>
  <si>
    <t>EBUS(1)-TX+</t>
  </si>
  <si>
    <t>EBUS(0)-RX-</t>
  </si>
  <si>
    <t>EBUS(0)-RX+</t>
  </si>
  <si>
    <t>EBUS(0)-TX-</t>
  </si>
  <si>
    <t>EBUS(0)-TX+</t>
  </si>
  <si>
    <t>VCC</t>
    <phoneticPr fontId="1" type="noConversion"/>
  </si>
  <si>
    <t>GND</t>
    <phoneticPr fontId="1" type="noConversion"/>
  </si>
  <si>
    <t>PDI9</t>
  </si>
  <si>
    <t>PDI10</t>
  </si>
  <si>
    <t>PDI11</t>
  </si>
  <si>
    <t>PDI12</t>
  </si>
  <si>
    <t>PDI13</t>
  </si>
  <si>
    <t>PDI14</t>
  </si>
  <si>
    <t>PDI15</t>
    <phoneticPr fontId="1" type="noConversion"/>
  </si>
  <si>
    <t>TX_ENA{0}/EBUS{0}-TX+</t>
  </si>
  <si>
    <t>TX_D{0}[1]/EBUS{0}-TX-</t>
  </si>
  <si>
    <t>RX_D{0}[1]/EBUS{0}-RX+</t>
  </si>
  <si>
    <t>RX_DV{0}/EBUS{0}-RX-</t>
  </si>
  <si>
    <t>PDI[35]/RX_ERR{2}</t>
  </si>
  <si>
    <t>PDI[36]/RX_CLK{2}</t>
  </si>
  <si>
    <t>PDI[37]/RX_D{2}[0]</t>
  </si>
  <si>
    <t>PDI[38]/RX_D{2}[2]</t>
  </si>
  <si>
    <t>PDI[39]/RX_D{2}[3]</t>
  </si>
  <si>
    <t>PDI[16]/RX_ERR{3}</t>
  </si>
  <si>
    <t>PDI[17]/RX_CLK{3}</t>
  </si>
  <si>
    <t>PDI[18]/RX_D{3}[0]</t>
  </si>
  <si>
    <t>PDI[19]/RX_D{3}[2]</t>
  </si>
  <si>
    <t>PDI[20]/RX_D{3}[3]</t>
  </si>
  <si>
    <t>PDI[21]/LINK_MII{3}</t>
  </si>
  <si>
    <t>PDI[22]/TX_D{3}[3]</t>
  </si>
  <si>
    <t>PDI[23]/TX_D{3}[2]</t>
  </si>
  <si>
    <t>PDI[26]/TX_ENA{3}/EBUS{3}-TX+</t>
  </si>
  <si>
    <t>PDI[24]/TX_D{3}[1]/EBUS{3}-TX-</t>
  </si>
  <si>
    <t>PDI[27]/RX_DV{3}/EBUS{3}-RX-</t>
  </si>
  <si>
    <t>PDI[29]/RX_D{3}[1]/EBUS{3}-RX+</t>
  </si>
  <si>
    <t>PDI[25]/TX_D{3}[0]</t>
  </si>
  <si>
    <t>PDI[28]/PERR{3}/Trans{3}</t>
  </si>
  <si>
    <t>PDI[30]/LinkAct{3}/P_CONF[3]</t>
  </si>
  <si>
    <t>PDI[31]/CLK25OUT2</t>
  </si>
  <si>
    <t>RES0</t>
    <phoneticPr fontId="1" type="noConversion"/>
  </si>
  <si>
    <t>RES2</t>
  </si>
  <si>
    <t>RES1</t>
    <phoneticPr fontId="1" type="noConversion"/>
  </si>
  <si>
    <t>EBUS{1}-RX-/LINK_MII</t>
    <phoneticPr fontId="1" type="noConversion"/>
  </si>
  <si>
    <t>32pin base 1100
5*5</t>
    <phoneticPr fontId="1" type="noConversion"/>
  </si>
  <si>
    <t>64
8*8</t>
    <phoneticPr fontId="1" type="noConversion"/>
  </si>
  <si>
    <t>支持2LVDS+SPI</t>
    <phoneticPr fontId="1" type="noConversion"/>
  </si>
  <si>
    <t>Pin</t>
  </si>
  <si>
    <t>Signal name</t>
  </si>
  <si>
    <t>Dir.</t>
  </si>
  <si>
    <t>Int. PU/PD</t>
  </si>
  <si>
    <t>Conf. signal</t>
  </si>
  <si>
    <t>Ext. Conf.</t>
  </si>
  <si>
    <t>Remark</t>
    <phoneticPr fontId="1" type="noConversion"/>
  </si>
  <si>
    <t>I</t>
  </si>
  <si>
    <t>1、EEPROM里reserver填LVDS驱动值</t>
    <phoneticPr fontId="1" type="noConversion"/>
  </si>
  <si>
    <t>BD</t>
  </si>
  <si>
    <t>WPU</t>
  </si>
  <si>
    <t>*</t>
  </si>
  <si>
    <t>P_MODE[1:0]=00
P_CONFIG[3:0]=00
C25_ENA=0
C25_SHI[1:0]=00
Trans-Mode-Ena=0
PHYAD_OFF=0
LINK_POL=0
CLK_MODE[1:0]=00
EEP_SIZE=X，取决于使用的EEPROM大小</t>
    <phoneticPr fontId="1" type="noConversion"/>
  </si>
  <si>
    <t>WPD</t>
  </si>
  <si>
    <t>EEPROM interface pins</t>
  </si>
  <si>
    <t>3.3KΩ PU</t>
  </si>
  <si>
    <t>Distributed Clocks SYNC/LATCH pins/MII Management pins</t>
  </si>
  <si>
    <t>LED pins</t>
  </si>
  <si>
    <t>Activity</t>
  </si>
  <si>
    <t>act. high</t>
  </si>
  <si>
    <t>O</t>
  </si>
  <si>
    <t>EEPROM_SIZE</t>
  </si>
  <si>
    <t>MODE[0]</t>
  </si>
  <si>
    <t>MODE[1]</t>
  </si>
  <si>
    <t>LI-</t>
  </si>
  <si>
    <t>27KΩ PU</t>
  </si>
  <si>
    <t>LI+</t>
  </si>
  <si>
    <t>27KΩ PD</t>
  </si>
  <si>
    <t>LO-</t>
  </si>
  <si>
    <t>LO+</t>
  </si>
  <si>
    <t>(PD)</t>
  </si>
  <si>
    <t>Power supply</t>
  </si>
  <si>
    <t>Pin name</t>
  </si>
  <si>
    <t>EP</t>
  </si>
  <si>
    <t>Vcc (3.3V)</t>
  </si>
  <si>
    <t>Vcc I/O (3.3V)</t>
  </si>
  <si>
    <t>Vcc Core (1.8V)</t>
    <phoneticPr fontId="1" type="noConversion"/>
  </si>
  <si>
    <t>Vcc PLL (1.8V)</t>
    <phoneticPr fontId="1" type="noConversion"/>
  </si>
  <si>
    <t>模式1</t>
    <phoneticPr fontId="1" type="noConversion"/>
  </si>
  <si>
    <t>2MII+1LVDS+SPI</t>
    <phoneticPr fontId="1" type="noConversion"/>
  </si>
  <si>
    <t>模式2</t>
    <phoneticPr fontId="1" type="noConversion"/>
  </si>
  <si>
    <t>1MII+2LVDS+SPI</t>
    <phoneticPr fontId="1" type="noConversion"/>
  </si>
  <si>
    <t>模式3</t>
    <phoneticPr fontId="1" type="noConversion"/>
  </si>
  <si>
    <t>3LVDS+SPI</t>
    <phoneticPr fontId="1" type="noConversion"/>
  </si>
  <si>
    <t>General pins</t>
  </si>
  <si>
    <t>MII Management pins</t>
  </si>
  <si>
    <t>LINK_POL</t>
  </si>
  <si>
    <t>PU</t>
  </si>
  <si>
    <t>Distributed Clocks SYNC/LATCH pins</t>
  </si>
  <si>
    <t>PD</t>
  </si>
  <si>
    <t>LinkAct(x) and PERR(x) LEDs are associated with the physical ports</t>
  </si>
  <si>
    <t>PDI bytes 0/1</t>
  </si>
  <si>
    <t>PDI</t>
  </si>
  <si>
    <t>Phys. port 0 (PHY Adr. 0)</t>
  </si>
  <si>
    <t>Configuration signal</t>
  </si>
  <si>
    <t>C25_ENA</t>
  </si>
  <si>
    <t>n.u.</t>
  </si>
  <si>
    <t>C25_SHI[0]</t>
  </si>
  <si>
    <t>C25_SHI[1]</t>
  </si>
  <si>
    <t>UI</t>
  </si>
  <si>
    <t>CLK_MODE[0]</t>
  </si>
  <si>
    <t>P_CONF[0]</t>
  </si>
  <si>
    <t>LinkAct(0) (act. high)</t>
  </si>
  <si>
    <t>Phys. port 1 (PHY Adr. 1)</t>
  </si>
  <si>
    <t>TRANS_MODE_ENA</t>
  </si>
  <si>
    <t>P_MODE[0]</t>
  </si>
  <si>
    <t>P_MODE[1]</t>
  </si>
  <si>
    <t>CLK_MODE[1]</t>
  </si>
  <si>
    <t>P_CONF[1]</t>
  </si>
  <si>
    <t>LinkAct(1) (act. high)</t>
  </si>
  <si>
    <t>Phys. port 2/PDI byte 4</t>
  </si>
  <si>
    <t>PHYAD_OFF</t>
  </si>
  <si>
    <t>P_CONF[2]</t>
  </si>
  <si>
    <t>逻辑端口</t>
    <phoneticPr fontId="1" type="noConversion"/>
  </si>
  <si>
    <t>物理端口</t>
    <phoneticPr fontId="1" type="noConversion"/>
  </si>
  <si>
    <t>P_CONF[3:0]</t>
  </si>
  <si>
    <t>LVDS(1)</t>
  </si>
  <si>
    <t>LVDS(0)</t>
  </si>
  <si>
    <r>
      <t>‘</t>
    </r>
    <r>
      <rPr>
        <sz val="10"/>
        <color rgb="FF44536A"/>
        <rFont val="宋体"/>
        <family val="2"/>
        <charset val="134"/>
      </rPr>
      <t>-00</t>
    </r>
    <r>
      <rPr>
        <sz val="10"/>
        <color rgb="FF44536A"/>
        <rFont val="Microsoft JhengHei UI"/>
        <family val="2"/>
        <charset val="136"/>
      </rPr>
      <t>0</t>
    </r>
    <phoneticPr fontId="1" type="noConversion"/>
  </si>
  <si>
    <t>MII(0)</t>
  </si>
  <si>
    <r>
      <t>’-</t>
    </r>
    <r>
      <rPr>
        <sz val="10"/>
        <color rgb="FF44536A"/>
        <rFont val="宋体"/>
        <family val="2"/>
        <charset val="134"/>
      </rPr>
      <t>00</t>
    </r>
    <r>
      <rPr>
        <sz val="10"/>
        <color rgb="FF44536A"/>
        <rFont val="Microsoft JhengHei UI"/>
        <family val="2"/>
        <charset val="136"/>
      </rPr>
      <t>1</t>
    </r>
    <phoneticPr fontId="1" type="noConversion"/>
  </si>
  <si>
    <t>MII(1)</t>
  </si>
  <si>
    <r>
      <t>‘-</t>
    </r>
    <r>
      <rPr>
        <sz val="10"/>
        <color rgb="FF44536A"/>
        <rFont val="宋体"/>
        <family val="2"/>
        <charset val="134"/>
      </rPr>
      <t>0</t>
    </r>
    <r>
      <rPr>
        <sz val="10"/>
        <color rgb="FF44536A"/>
        <rFont val="Microsoft JhengHei UI"/>
        <family val="2"/>
        <charset val="136"/>
      </rPr>
      <t>10</t>
    </r>
    <phoneticPr fontId="1" type="noConversion"/>
  </si>
  <si>
    <r>
      <t>’-</t>
    </r>
    <r>
      <rPr>
        <sz val="10"/>
        <color rgb="FF44536A"/>
        <rFont val="宋体"/>
        <family val="2"/>
        <charset val="134"/>
      </rPr>
      <t>0</t>
    </r>
    <r>
      <rPr>
        <sz val="10"/>
        <color rgb="FF44536A"/>
        <rFont val="Microsoft JhengHei UI"/>
        <family val="2"/>
        <charset val="136"/>
      </rPr>
      <t>11</t>
    </r>
    <phoneticPr fontId="1" type="noConversion"/>
  </si>
  <si>
    <t>配置 3 端口 ( 端口 0,1, and 2; P_MODE[1:0]=01)</t>
    <phoneticPr fontId="1" type="noConversion"/>
  </si>
  <si>
    <t>LVDS(2)</t>
  </si>
  <si>
    <t>LVDS(2)</t>
    <phoneticPr fontId="1" type="noConversion"/>
  </si>
  <si>
    <t>MII(2)</t>
  </si>
  <si>
    <t>LVDS(1)</t>
    <phoneticPr fontId="1" type="noConversion"/>
  </si>
  <si>
    <t>MII(2)</t>
    <phoneticPr fontId="1" type="noConversion"/>
  </si>
  <si>
    <t>MII(1)</t>
    <phoneticPr fontId="1" type="noConversion"/>
  </si>
  <si>
    <t>MII(0)</t>
    <phoneticPr fontId="1" type="noConversion"/>
  </si>
  <si>
    <t>PMODE0=0
PMODE1=1,3端口
PMODE1=0,2端口
PCONF0=0,LVDS;PCONF0=1,MII
PCONF1=0,LVDS;PCONF1=1,MII
PCONF2=0
PCONF3=0</t>
    <phoneticPr fontId="1" type="noConversion"/>
  </si>
  <si>
    <t>RX_D(0)[0]</t>
    <phoneticPr fontId="1" type="noConversion"/>
  </si>
  <si>
    <t>PIN No.</t>
    <phoneticPr fontId="1" type="noConversion"/>
  </si>
  <si>
    <t>Signal</t>
    <phoneticPr fontId="1" type="noConversion"/>
  </si>
  <si>
    <t>PDI[8]</t>
    <phoneticPr fontId="1" type="noConversion"/>
  </si>
  <si>
    <t>MI_CLK/LINKPOL</t>
    <phoneticPr fontId="1" type="noConversion"/>
  </si>
  <si>
    <t>PDI[16]/RX_D[2]</t>
    <phoneticPr fontId="1" type="noConversion"/>
  </si>
  <si>
    <t>PDI[8]/TX_D[0]/PHYAD_OFF</t>
    <phoneticPr fontId="1" type="noConversion"/>
  </si>
  <si>
    <t>PDI[9]/TX_D[1]/C25_ENA</t>
    <phoneticPr fontId="1" type="noConversion"/>
  </si>
  <si>
    <t>EBUS{1}-TX-/MI_CLK</t>
    <phoneticPr fontId="1" type="noConversion"/>
  </si>
  <si>
    <t>EBUS{1}-TX+/TX_ENA</t>
    <phoneticPr fontId="1" type="noConversion"/>
  </si>
  <si>
    <t>TX_D(0)[2]/C25_SHI[0]</t>
    <phoneticPr fontId="1" type="noConversion"/>
  </si>
  <si>
    <t>TX_D(0)[0]/C25_ENA</t>
    <phoneticPr fontId="1" type="noConversion"/>
  </si>
  <si>
    <t>TX_D(0)[3]/C25_SHI[1]</t>
    <phoneticPr fontId="1" type="noConversion"/>
  </si>
  <si>
    <t>RX_D{0}[1]/EBUS{0}-RX+</t>
    <phoneticPr fontId="1" type="noConversion"/>
  </si>
  <si>
    <t>SYNC/LATCH[1]/MI_DATA</t>
    <phoneticPr fontId="1" type="noConversion"/>
  </si>
  <si>
    <t>LINKACT(0)/P_CONF[0]</t>
    <phoneticPr fontId="1" type="noConversion"/>
  </si>
  <si>
    <t>LINKACT(0)/MODE[0]</t>
    <phoneticPr fontId="1" type="noConversion"/>
  </si>
  <si>
    <t>LINKACT(1)/P_CONF(1)</t>
    <phoneticPr fontId="1" type="noConversion"/>
  </si>
  <si>
    <t>LINKACT(1)/MODE[1]</t>
    <phoneticPr fontId="1" type="noConversion"/>
  </si>
  <si>
    <t>PDI[7]/CPU_CLK</t>
    <phoneticPr fontId="1" type="noConversion"/>
  </si>
  <si>
    <t>PDI[5]</t>
    <phoneticPr fontId="1" type="noConversion"/>
  </si>
  <si>
    <t>PDI[10]/TX_D[2]/C25_SHI[0]</t>
    <phoneticPr fontId="1" type="noConversion"/>
  </si>
  <si>
    <t>TX_ENA(1)/EBUS(1)-TX+</t>
    <phoneticPr fontId="1" type="noConversion"/>
  </si>
  <si>
    <t>TX_D(1)[1]/EBUS(1)-TX-</t>
    <phoneticPr fontId="1" type="noConversion"/>
  </si>
  <si>
    <t>TX_D(1)[0]/TRANS_MODE_ENA</t>
    <phoneticPr fontId="1" type="noConversion"/>
  </si>
  <si>
    <t>TX_D(1)[2]/P_MODE[0]</t>
    <phoneticPr fontId="1" type="noConversion"/>
  </si>
  <si>
    <t>TX_D(1)[3]/P_MODE[1]</t>
    <phoneticPr fontId="1" type="noConversion"/>
  </si>
  <si>
    <t>RX_D(1)[1]/EBUS(1)-RX+</t>
    <phoneticPr fontId="1" type="noConversion"/>
  </si>
  <si>
    <t>EBUS{1}-RX+/RX_ERR</t>
    <phoneticPr fontId="1" type="noConversion"/>
  </si>
  <si>
    <t>RX_DV(1)/EBUS(1)-RX-</t>
    <phoneticPr fontId="1" type="noConversion"/>
  </si>
  <si>
    <t>PERR(1)/TRANS(1)/CLK_MODE(1)</t>
    <phoneticPr fontId="1" type="noConversion"/>
  </si>
  <si>
    <t>PERR(1)/CLK_MODE[1]</t>
    <phoneticPr fontId="1" type="noConversion"/>
  </si>
  <si>
    <t>SYNC/LATCH[0]</t>
    <phoneticPr fontId="1" type="noConversion"/>
  </si>
  <si>
    <t>SYNC/LATCH[1]</t>
    <phoneticPr fontId="1" type="noConversion"/>
  </si>
  <si>
    <t>RUN/EEPROM_SIZE</t>
    <phoneticPr fontId="1" type="noConversion"/>
  </si>
  <si>
    <t>RESET (act. low)</t>
    <phoneticPr fontId="1" type="noConversion"/>
  </si>
  <si>
    <t>LINKACT(2)/P_CONF[2]</t>
    <phoneticPr fontId="1" type="noConversion"/>
  </si>
  <si>
    <t>PERR(2)/TRANS(2)/PHYAD_OFF</t>
    <phoneticPr fontId="1" type="noConversion"/>
  </si>
  <si>
    <t>LINK_MII(2)/CLK25OUT1</t>
    <phoneticPr fontId="1" type="noConversion"/>
  </si>
  <si>
    <t>Res. [1]</t>
    <phoneticPr fontId="1" type="noConversion"/>
  </si>
  <si>
    <t>RX_D{2}[1]/EBUS{2}-RX+</t>
    <phoneticPr fontId="1" type="noConversion"/>
  </si>
  <si>
    <t>RX_DV{2}/EBUS{2}-RX-</t>
    <phoneticPr fontId="1" type="noConversion"/>
  </si>
  <si>
    <t>PDI[34]/TX_D(2)[0]/CTRL_STATUS_MOVE</t>
    <phoneticPr fontId="1" type="noConversion"/>
  </si>
  <si>
    <t>PDI[33]/TX_D(2)[2]</t>
    <phoneticPr fontId="1" type="noConversion"/>
  </si>
  <si>
    <t>PDI[32]/TX_D(2)[3]</t>
    <phoneticPr fontId="1" type="noConversion"/>
  </si>
  <si>
    <t>TX_D(2)[1]/EBUS(2)-TX-</t>
    <phoneticPr fontId="1" type="noConversion"/>
  </si>
  <si>
    <t>TX_ENA(2)/EBUS(2)-TX+</t>
    <phoneticPr fontId="1" type="noConversion"/>
  </si>
  <si>
    <t>PDI[6]/EEPROM_Loaded</t>
    <phoneticPr fontId="1" type="noConversion"/>
  </si>
  <si>
    <t>PDI[0]/SPI_CLK</t>
    <phoneticPr fontId="1" type="noConversion"/>
  </si>
  <si>
    <t>PDI[1]/SPI_SEL</t>
  </si>
  <si>
    <t>PDI[1]/SPI_SEL</t>
    <phoneticPr fontId="1" type="noConversion"/>
  </si>
  <si>
    <t>PDI[4]/SPI_IRQ</t>
    <phoneticPr fontId="1" type="noConversion"/>
  </si>
  <si>
    <t>PDI[4]</t>
    <phoneticPr fontId="1" type="noConversion"/>
  </si>
  <si>
    <t>PDI[2]/SPI_DI</t>
    <phoneticPr fontId="1" type="noConversion"/>
  </si>
  <si>
    <t>PDI[3]/SPI_DO</t>
    <phoneticPr fontId="1" type="noConversion"/>
  </si>
  <si>
    <t>PERR(0)/CLK_MODE[0]</t>
    <phoneticPr fontId="1" type="noConversion"/>
  </si>
  <si>
    <t>PERR (0)/TRANS(0)/CLK_MODE[0]</t>
    <phoneticPr fontId="1" type="noConversion"/>
  </si>
  <si>
    <t>PDI[17]/RX_D[3]</t>
    <phoneticPr fontId="1" type="noConversion"/>
  </si>
  <si>
    <t>PDI[15]/RX_D[1]</t>
    <phoneticPr fontId="1" type="noConversion"/>
  </si>
  <si>
    <t>PDI[14]/RX_D[0]</t>
    <phoneticPr fontId="1" type="noConversion"/>
  </si>
  <si>
    <t>MI_DATA</t>
    <phoneticPr fontId="1" type="noConversion"/>
  </si>
  <si>
    <t>EBUS{0}-TX+</t>
    <phoneticPr fontId="1" type="noConversion"/>
  </si>
  <si>
    <t>EBUS{0}-TX-</t>
    <phoneticPr fontId="1" type="noConversion"/>
  </si>
  <si>
    <t>EBUS{0}-RX+</t>
    <phoneticPr fontId="1" type="noConversion"/>
  </si>
  <si>
    <t>EBUS{0}-RX-</t>
    <phoneticPr fontId="1" type="noConversion"/>
  </si>
  <si>
    <t>EBUS{0}-RX+</t>
    <phoneticPr fontId="1" type="noConversion"/>
  </si>
  <si>
    <t xml:space="preserve"> PDI[6]/CLK25OUT</t>
    <phoneticPr fontId="1" type="noConversion"/>
  </si>
  <si>
    <t>PDI[6]/CLK25OUT</t>
    <phoneticPr fontId="1" type="noConversion"/>
  </si>
  <si>
    <t>PDI[0]/EBUS(3)_TX+</t>
    <phoneticPr fontId="1" type="noConversion"/>
  </si>
  <si>
    <t>PDI[1]/EBUS(3)_TX-</t>
  </si>
  <si>
    <t>PDI[2]/EBUS(3)_RX+</t>
    <phoneticPr fontId="1" type="noConversion"/>
  </si>
  <si>
    <t>PDI[3]/EBUS(3)_RX-</t>
  </si>
  <si>
    <t>RX_CLK(0)</t>
    <phoneticPr fontId="1" type="noConversion"/>
  </si>
  <si>
    <t>PDI[12]/RX_CLK(0)</t>
    <phoneticPr fontId="1" type="noConversion"/>
  </si>
  <si>
    <t>VCC</t>
    <phoneticPr fontId="1" type="noConversion"/>
  </si>
  <si>
    <t>GND</t>
    <phoneticPr fontId="1" type="noConversion"/>
  </si>
  <si>
    <t>问题1：LVDS是模拟信号线所以和128pin对齐，否则会有很大干扰
问题2：32Pin里面没有Rx_CLK,应该改为LinkAct1
问题3：信号线要对齐，MII0的信号要和MII0对齐LVDS的信号要和LVDS的信号对齐</t>
    <phoneticPr fontId="1" type="noConversion"/>
  </si>
  <si>
    <t>LVDS 控制信号
PDI</t>
    <phoneticPr fontId="1" type="noConversion"/>
  </si>
  <si>
    <t>48
10</t>
    <phoneticPr fontId="1" type="noConversion"/>
  </si>
  <si>
    <t>48
13</t>
    <phoneticPr fontId="1" type="noConversion"/>
  </si>
  <si>
    <t>48
12</t>
    <phoneticPr fontId="1" type="noConversion"/>
  </si>
  <si>
    <t>In/Out</t>
    <phoneticPr fontId="1" type="noConversion"/>
  </si>
  <si>
    <t>InPut</t>
    <phoneticPr fontId="1" type="noConversion"/>
  </si>
  <si>
    <t>OutPut</t>
    <phoneticPr fontId="1" type="noConversion"/>
  </si>
  <si>
    <t xml:space="preserve"> EBUS{1}-TX-/MI_CLK</t>
    <phoneticPr fontId="1" type="noConversion"/>
  </si>
  <si>
    <t>VCC core</t>
    <phoneticPr fontId="1" type="noConversion"/>
  </si>
  <si>
    <t>GND core</t>
    <phoneticPr fontId="1" type="noConversion"/>
  </si>
  <si>
    <t>RUN (act. high)</t>
    <phoneticPr fontId="1" type="noConversion"/>
  </si>
  <si>
    <r>
      <t>InOut/</t>
    </r>
    <r>
      <rPr>
        <sz val="11"/>
        <color theme="5" tint="-0.249977111117893"/>
        <rFont val="宋体"/>
        <family val="3"/>
        <charset val="134"/>
        <scheme val="minor"/>
      </rPr>
      <t>OutPut</t>
    </r>
    <phoneticPr fontId="1" type="noConversion"/>
  </si>
  <si>
    <r>
      <t>InOut/</t>
    </r>
    <r>
      <rPr>
        <sz val="11"/>
        <color rgb="FF0070C0"/>
        <rFont val="宋体"/>
        <family val="3"/>
        <charset val="134"/>
        <scheme val="minor"/>
      </rPr>
      <t>InPut</t>
    </r>
    <phoneticPr fontId="1" type="noConversion"/>
  </si>
  <si>
    <t>Power</t>
    <phoneticPr fontId="1" type="noConversion"/>
  </si>
  <si>
    <t>GND</t>
    <phoneticPr fontId="1" type="noConversion"/>
  </si>
  <si>
    <t>PDI[27]/RX_DV{3}/EBUS{3}-RX-</t>
    <phoneticPr fontId="1" type="noConversion"/>
  </si>
  <si>
    <t>NC</t>
    <phoneticPr fontId="1" type="noConversion"/>
  </si>
  <si>
    <t>LINKACT(0)/P_CONF(0)</t>
    <phoneticPr fontId="1" type="noConversion"/>
  </si>
  <si>
    <t>PDI[12]/RX_CLK(0)</t>
    <phoneticPr fontId="1" type="noConversion"/>
  </si>
  <si>
    <t>PDI[1]/EBUS{3}_TX-</t>
    <phoneticPr fontId="1" type="noConversion"/>
  </si>
  <si>
    <t>PDI[0]/EBUS{3}_TX+</t>
    <phoneticPr fontId="1" type="noConversion"/>
  </si>
  <si>
    <t>PDI[3]/EBUS{3}_RX-</t>
    <phoneticPr fontId="1" type="noConversion"/>
  </si>
  <si>
    <t>PDI[2]/EBUS{3}_RX+</t>
    <phoneticPr fontId="1" type="noConversion"/>
  </si>
  <si>
    <t>VDDCORE
1.2V</t>
    <phoneticPr fontId="1" type="noConversion"/>
  </si>
  <si>
    <t>LVDS
3.3V</t>
    <phoneticPr fontId="1" type="noConversion"/>
  </si>
  <si>
    <t>VDDIO
3.3</t>
    <phoneticPr fontId="1" type="noConversion"/>
  </si>
  <si>
    <t>LVDS
VDDIO
3.3V</t>
    <phoneticPr fontId="1" type="noConversion"/>
  </si>
  <si>
    <t>VDDLVDS
3.3</t>
    <phoneticPr fontId="1" type="noConversion"/>
  </si>
  <si>
    <t>VDDLVDS 
3.3</t>
    <phoneticPr fontId="1" type="noConversion"/>
  </si>
  <si>
    <t>VDDIO/VDDLVDS
3.3</t>
    <phoneticPr fontId="1" type="noConversion"/>
  </si>
  <si>
    <t>VDDIO
VDDLVDS
3.3</t>
    <phoneticPr fontId="1" type="noConversion"/>
  </si>
  <si>
    <t>AVDD 3.3</t>
    <phoneticPr fontId="1" type="noConversion"/>
  </si>
  <si>
    <t>VDDCORE 1.2</t>
    <phoneticPr fontId="1" type="noConversion"/>
  </si>
  <si>
    <t>EP</t>
    <phoneticPr fontId="1" type="noConversion"/>
  </si>
  <si>
    <t>VDDCORE
1.2</t>
    <phoneticPr fontId="1" type="noConversion"/>
  </si>
  <si>
    <t>VDDLVDS
3.3 ？？</t>
    <phoneticPr fontId="1" type="noConversion"/>
  </si>
  <si>
    <t>调至左侧，紧邻电源RVS0,1,2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</si>
</sst>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rgb="FF231F20"/>
      <name val="Arial Unicode MS"/>
      <family val="2"/>
      <charset val="134"/>
    </font>
    <font>
      <sz val="8"/>
      <color theme="1"/>
      <name val="Times New Roman"/>
      <family val="1"/>
    </font>
    <font>
      <sz val="10"/>
      <color rgb="FF44536A"/>
      <name val="Microsoft JhengHei UI"/>
      <family val="2"/>
      <charset val="136"/>
    </font>
    <font>
      <sz val="10"/>
      <color rgb="FF44536A"/>
      <name val="宋体"/>
      <family val="2"/>
      <charset val="134"/>
    </font>
    <font>
      <sz val="12"/>
      <color theme="1"/>
      <name val="Microsoft JhengHei UI"/>
      <family val="2"/>
      <charset val="136"/>
    </font>
    <font>
      <sz val="8"/>
      <color theme="1"/>
      <name val="宋体"/>
      <family val="1"/>
      <charset val="134"/>
    </font>
    <font>
      <sz val="9"/>
      <color theme="1"/>
      <name val="Times New Roman"/>
      <family val="1"/>
    </font>
    <font>
      <i/>
      <strike/>
      <sz val="10"/>
      <color rgb="FFFF0000"/>
      <name val="Microsoft JhengHei UI"/>
      <family val="2"/>
      <charset val="136"/>
    </font>
    <font>
      <sz val="11"/>
      <color theme="0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7" tint="-0.249977111117893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DB3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66FFFF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231F20"/>
      </left>
      <right/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/>
      <right/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4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textRotation="90"/>
    </xf>
    <xf numFmtId="0" fontId="2" fillId="0" borderId="0" xfId="1" applyAlignment="1">
      <alignment horizontal="center" vertical="center"/>
    </xf>
    <xf numFmtId="0" fontId="2" fillId="2" borderId="1" xfId="1" applyFill="1" applyBorder="1" applyAlignment="1">
      <alignment horizontal="center" vertical="top" textRotation="180"/>
    </xf>
    <xf numFmtId="0" fontId="2" fillId="4" borderId="1" xfId="1" applyFill="1" applyBorder="1" applyAlignment="1">
      <alignment horizontal="center" vertical="top" textRotation="180"/>
    </xf>
    <xf numFmtId="0" fontId="2" fillId="0" borderId="0" xfId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2" fillId="0" borderId="0" xfId="1" applyAlignment="1">
      <alignment horizontal="center" vertical="center" textRotation="90"/>
    </xf>
    <xf numFmtId="0" fontId="2" fillId="0" borderId="0" xfId="1" applyAlignment="1">
      <alignment horizontal="center" vertical="top"/>
    </xf>
    <xf numFmtId="0" fontId="2" fillId="0" borderId="1" xfId="1" applyBorder="1" applyAlignment="1">
      <alignment horizontal="center" textRotation="90"/>
    </xf>
    <xf numFmtId="0" fontId="2" fillId="2" borderId="0" xfId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1" applyBorder="1">
      <alignment vertical="center"/>
    </xf>
    <xf numFmtId="0" fontId="2" fillId="0" borderId="3" xfId="1" applyBorder="1">
      <alignment vertical="center"/>
    </xf>
    <xf numFmtId="0" fontId="2" fillId="0" borderId="4" xfId="1" applyBorder="1">
      <alignment vertical="center"/>
    </xf>
    <xf numFmtId="0" fontId="2" fillId="0" borderId="5" xfId="1" applyBorder="1">
      <alignment vertical="center"/>
    </xf>
    <xf numFmtId="0" fontId="2" fillId="0" borderId="6" xfId="1" applyBorder="1">
      <alignment vertical="center"/>
    </xf>
    <xf numFmtId="0" fontId="2" fillId="0" borderId="7" xfId="1" applyBorder="1">
      <alignment vertical="center"/>
    </xf>
    <xf numFmtId="0" fontId="2" fillId="0" borderId="8" xfId="1" applyBorder="1">
      <alignment vertical="center"/>
    </xf>
    <xf numFmtId="0" fontId="2" fillId="0" borderId="9" xfId="1" applyBorder="1">
      <alignment vertical="center"/>
    </xf>
    <xf numFmtId="0" fontId="2" fillId="2" borderId="10" xfId="1" applyFill="1" applyBorder="1" applyAlignment="1">
      <alignment horizontal="center" vertical="top" textRotation="180"/>
    </xf>
    <xf numFmtId="0" fontId="2" fillId="4" borderId="11" xfId="1" applyFill="1" applyBorder="1" applyAlignment="1">
      <alignment horizontal="center" vertical="top" textRotation="180"/>
    </xf>
    <xf numFmtId="0" fontId="2" fillId="3" borderId="11" xfId="1" applyFill="1" applyBorder="1" applyAlignment="1">
      <alignment horizontal="center" vertical="top" textRotation="180"/>
    </xf>
    <xf numFmtId="0" fontId="2" fillId="0" borderId="11" xfId="1" applyBorder="1" applyAlignment="1">
      <alignment horizontal="center" vertical="top" textRotation="180"/>
    </xf>
    <xf numFmtId="0" fontId="2" fillId="2" borderId="11" xfId="1" applyFill="1" applyBorder="1" applyAlignment="1">
      <alignment horizontal="center" vertical="top" textRotation="180"/>
    </xf>
    <xf numFmtId="0" fontId="2" fillId="4" borderId="12" xfId="1" applyFill="1" applyBorder="1" applyAlignment="1">
      <alignment horizontal="center" vertical="top" textRotation="180"/>
    </xf>
    <xf numFmtId="0" fontId="2" fillId="0" borderId="14" xfId="1" applyBorder="1">
      <alignment vertical="center"/>
    </xf>
    <xf numFmtId="0" fontId="2" fillId="0" borderId="15" xfId="1" applyBorder="1" applyAlignment="1">
      <alignment horizontal="left" vertical="center"/>
    </xf>
    <xf numFmtId="0" fontId="2" fillId="0" borderId="16" xfId="1" applyBorder="1">
      <alignment vertical="center"/>
    </xf>
    <xf numFmtId="0" fontId="2" fillId="4" borderId="16" xfId="1" applyFill="1" applyBorder="1">
      <alignment vertical="center"/>
    </xf>
    <xf numFmtId="0" fontId="2" fillId="4" borderId="14" xfId="1" applyFill="1" applyBorder="1">
      <alignment vertical="center"/>
    </xf>
    <xf numFmtId="0" fontId="2" fillId="3" borderId="16" xfId="1" applyFill="1" applyBorder="1">
      <alignment vertical="center"/>
    </xf>
    <xf numFmtId="0" fontId="2" fillId="2" borderId="16" xfId="1" applyFill="1" applyBorder="1">
      <alignment vertical="center"/>
    </xf>
    <xf numFmtId="0" fontId="2" fillId="3" borderId="14" xfId="1" applyFill="1" applyBorder="1">
      <alignment vertical="center"/>
    </xf>
    <xf numFmtId="0" fontId="2" fillId="4" borderId="17" xfId="1" applyFill="1" applyBorder="1" applyAlignment="1">
      <alignment horizontal="left" vertical="center"/>
    </xf>
    <xf numFmtId="0" fontId="2" fillId="4" borderId="18" xfId="1" applyFill="1" applyBorder="1" applyAlignment="1">
      <alignment horizontal="left" vertical="center"/>
    </xf>
    <xf numFmtId="0" fontId="2" fillId="0" borderId="14" xfId="1" applyBorder="1" applyAlignment="1">
      <alignment horizontal="left" vertical="center"/>
    </xf>
    <xf numFmtId="0" fontId="2" fillId="2" borderId="19" xfId="1" applyFill="1" applyBorder="1" applyAlignment="1">
      <alignment horizontal="center" textRotation="90"/>
    </xf>
    <xf numFmtId="0" fontId="2" fillId="4" borderId="19" xfId="1" applyFill="1" applyBorder="1" applyAlignment="1">
      <alignment horizontal="center" textRotation="90"/>
    </xf>
    <xf numFmtId="0" fontId="2" fillId="0" borderId="19" xfId="1" applyBorder="1" applyAlignment="1">
      <alignment horizontal="center" textRotation="90"/>
    </xf>
    <xf numFmtId="0" fontId="2" fillId="2" borderId="20" xfId="1" applyFill="1" applyBorder="1" applyAlignment="1">
      <alignment horizontal="center" textRotation="90"/>
    </xf>
    <xf numFmtId="0" fontId="5" fillId="0" borderId="14" xfId="1" applyFont="1" applyBorder="1">
      <alignment vertical="center"/>
    </xf>
    <xf numFmtId="0" fontId="5" fillId="0" borderId="13" xfId="1" applyFont="1" applyBorder="1" applyAlignment="1">
      <alignment horizontal="left" vertical="center"/>
    </xf>
    <xf numFmtId="0" fontId="5" fillId="0" borderId="19" xfId="1" applyFont="1" applyBorder="1" applyAlignment="1">
      <alignment horizontal="center" textRotation="90"/>
    </xf>
    <xf numFmtId="0" fontId="2" fillId="5" borderId="0" xfId="1" applyFill="1">
      <alignment vertical="center"/>
    </xf>
    <xf numFmtId="0" fontId="2" fillId="6" borderId="0" xfId="1" applyFill="1">
      <alignment vertical="center"/>
    </xf>
    <xf numFmtId="0" fontId="2" fillId="7" borderId="0" xfId="1" applyFill="1">
      <alignment vertical="center"/>
    </xf>
    <xf numFmtId="0" fontId="2" fillId="8" borderId="0" xfId="1" applyFill="1">
      <alignment vertical="center"/>
    </xf>
    <xf numFmtId="0" fontId="0" fillId="11" borderId="0" xfId="0" applyFill="1" applyAlignment="1" applyProtection="1">
      <alignment horizontal="center"/>
      <protection hidden="1"/>
    </xf>
    <xf numFmtId="0" fontId="0" fillId="11" borderId="0" xfId="0" applyFill="1" applyAlignment="1" applyProtection="1">
      <protection hidden="1"/>
    </xf>
    <xf numFmtId="0" fontId="0" fillId="11" borderId="0" xfId="0" applyFill="1" applyAlignment="1" applyProtection="1">
      <alignment horizontal="left" vertical="center"/>
      <protection hidden="1"/>
    </xf>
    <xf numFmtId="0" fontId="0" fillId="9" borderId="0" xfId="0" applyFill="1">
      <alignment vertical="center"/>
    </xf>
    <xf numFmtId="0" fontId="2" fillId="19" borderId="0" xfId="1" applyFill="1">
      <alignment vertical="center"/>
    </xf>
    <xf numFmtId="0" fontId="2" fillId="0" borderId="0" xfId="0" applyFont="1">
      <alignment vertical="center"/>
    </xf>
    <xf numFmtId="0" fontId="0" fillId="0" borderId="22" xfId="0" applyBorder="1" applyAlignment="1" applyProtection="1">
      <alignment horizontal="center" vertical="top"/>
      <protection hidden="1"/>
    </xf>
    <xf numFmtId="0" fontId="0" fillId="13" borderId="23" xfId="0" applyFill="1" applyBorder="1" applyAlignment="1" applyProtection="1">
      <alignment vertical="top"/>
      <protection hidden="1"/>
    </xf>
    <xf numFmtId="0" fontId="0" fillId="0" borderId="24" xfId="0" applyBorder="1" applyAlignment="1" applyProtection="1">
      <alignment horizontal="center" vertical="top"/>
      <protection hidden="1"/>
    </xf>
    <xf numFmtId="0" fontId="0" fillId="13" borderId="26" xfId="0" applyFill="1" applyBorder="1" applyAlignment="1" applyProtection="1">
      <alignment vertical="top"/>
      <protection hidden="1"/>
    </xf>
    <xf numFmtId="0" fontId="0" fillId="0" borderId="27" xfId="0" applyBorder="1" applyAlignment="1" applyProtection="1">
      <alignment horizontal="center" vertical="top"/>
      <protection hidden="1"/>
    </xf>
    <xf numFmtId="0" fontId="0" fillId="13" borderId="29" xfId="0" applyFill="1" applyBorder="1" applyAlignment="1" applyProtection="1">
      <alignment horizontal="left" vertical="top"/>
      <protection hidden="1"/>
    </xf>
    <xf numFmtId="0" fontId="0" fillId="13" borderId="23" xfId="0" applyFill="1" applyBorder="1" applyAlignment="1" applyProtection="1">
      <alignment horizontal="left" vertical="top"/>
      <protection hidden="1"/>
    </xf>
    <xf numFmtId="0" fontId="0" fillId="0" borderId="34" xfId="0" applyBorder="1" applyAlignment="1" applyProtection="1">
      <alignment horizontal="center" vertical="top"/>
      <protection hidden="1"/>
    </xf>
    <xf numFmtId="0" fontId="0" fillId="13" borderId="35" xfId="0" applyFill="1" applyBorder="1" applyAlignment="1" applyProtection="1">
      <alignment horizontal="left" vertical="top"/>
      <protection hidden="1"/>
    </xf>
    <xf numFmtId="0" fontId="0" fillId="10" borderId="26" xfId="0" applyFill="1" applyBorder="1" applyAlignment="1" applyProtection="1">
      <alignment horizontal="left" vertical="top"/>
      <protection hidden="1"/>
    </xf>
    <xf numFmtId="0" fontId="0" fillId="0" borderId="36" xfId="0" applyBorder="1" applyAlignment="1" applyProtection="1">
      <alignment horizontal="center" vertical="top"/>
      <protection hidden="1"/>
    </xf>
    <xf numFmtId="0" fontId="0" fillId="17" borderId="37" xfId="0" applyFill="1" applyBorder="1" applyAlignment="1" applyProtection="1">
      <alignment horizontal="left" vertical="top"/>
      <protection hidden="1"/>
    </xf>
    <xf numFmtId="0" fontId="0" fillId="17" borderId="26" xfId="0" applyFill="1" applyBorder="1" applyAlignment="1" applyProtection="1">
      <alignment horizontal="left" vertical="top"/>
      <protection hidden="1"/>
    </xf>
    <xf numFmtId="0" fontId="0" fillId="17" borderId="29" xfId="0" applyFill="1" applyBorder="1" applyAlignment="1" applyProtection="1">
      <alignment vertical="top"/>
      <protection hidden="1"/>
    </xf>
    <xf numFmtId="0" fontId="0" fillId="16" borderId="37" xfId="0" applyFill="1" applyBorder="1" applyAlignment="1" applyProtection="1">
      <alignment horizontal="left" vertical="top"/>
      <protection hidden="1"/>
    </xf>
    <xf numFmtId="0" fontId="0" fillId="16" borderId="26" xfId="0" applyFill="1" applyBorder="1" applyAlignment="1" applyProtection="1">
      <alignment horizontal="left" vertical="top"/>
      <protection hidden="1"/>
    </xf>
    <xf numFmtId="0" fontId="0" fillId="16" borderId="26" xfId="0" applyFill="1" applyBorder="1" applyAlignment="1" applyProtection="1">
      <alignment vertical="top"/>
      <protection hidden="1"/>
    </xf>
    <xf numFmtId="0" fontId="0" fillId="16" borderId="29" xfId="0" applyFill="1" applyBorder="1" applyAlignment="1" applyProtection="1">
      <alignment vertical="top"/>
      <protection hidden="1"/>
    </xf>
    <xf numFmtId="0" fontId="0" fillId="20" borderId="26" xfId="0" applyFill="1" applyBorder="1" applyAlignment="1" applyProtection="1">
      <alignment horizontal="left" vertical="top"/>
      <protection hidden="1"/>
    </xf>
    <xf numFmtId="0" fontId="0" fillId="20" borderId="26" xfId="0" applyFill="1" applyBorder="1" applyAlignment="1" applyProtection="1">
      <alignment vertical="top"/>
      <protection hidden="1"/>
    </xf>
    <xf numFmtId="0" fontId="0" fillId="20" borderId="29" xfId="0" applyFill="1" applyBorder="1" applyAlignment="1" applyProtection="1">
      <alignment vertical="top"/>
      <protection hidden="1"/>
    </xf>
    <xf numFmtId="0" fontId="0" fillId="21" borderId="26" xfId="0" applyFill="1" applyBorder="1" applyAlignment="1" applyProtection="1">
      <alignment horizontal="left" vertical="top"/>
      <protection hidden="1"/>
    </xf>
    <xf numFmtId="0" fontId="0" fillId="17" borderId="25" xfId="0" applyFill="1" applyBorder="1" applyAlignment="1" applyProtection="1">
      <alignment horizontal="left" vertical="center"/>
      <protection hidden="1"/>
    </xf>
    <xf numFmtId="0" fontId="0" fillId="17" borderId="28" xfId="0" applyFill="1" applyBorder="1" applyAlignment="1" applyProtection="1">
      <alignment horizontal="left" vertical="center"/>
      <protection hidden="1"/>
    </xf>
    <xf numFmtId="0" fontId="0" fillId="22" borderId="37" xfId="0" applyFill="1" applyBorder="1" applyAlignment="1" applyProtection="1">
      <alignment horizontal="left" vertical="top"/>
      <protection hidden="1"/>
    </xf>
    <xf numFmtId="0" fontId="2" fillId="4" borderId="21" xfId="1" applyFill="1" applyBorder="1" applyAlignment="1">
      <alignment horizontal="center" textRotation="90"/>
    </xf>
    <xf numFmtId="0" fontId="2" fillId="23" borderId="26" xfId="0" applyFont="1" applyFill="1" applyBorder="1" applyAlignment="1" applyProtection="1">
      <alignment horizontal="left" vertical="top"/>
      <protection hidden="1"/>
    </xf>
    <xf numFmtId="0" fontId="0" fillId="25" borderId="26" xfId="0" applyFill="1" applyBorder="1" applyAlignment="1" applyProtection="1">
      <alignment horizontal="left" vertical="top"/>
      <protection hidden="1"/>
    </xf>
    <xf numFmtId="0" fontId="0" fillId="26" borderId="23" xfId="0" applyFill="1" applyBorder="1" applyAlignment="1" applyProtection="1">
      <alignment horizontal="left" vertical="top"/>
      <protection hidden="1"/>
    </xf>
    <xf numFmtId="0" fontId="0" fillId="27" borderId="29" xfId="0" applyFill="1" applyBorder="1" applyAlignment="1" applyProtection="1">
      <alignment vertical="top"/>
      <protection hidden="1"/>
    </xf>
    <xf numFmtId="0" fontId="2" fillId="27" borderId="26" xfId="0" applyFont="1" applyFill="1" applyBorder="1" applyAlignment="1" applyProtection="1">
      <alignment vertical="top"/>
      <protection hidden="1"/>
    </xf>
    <xf numFmtId="0" fontId="0" fillId="28" borderId="26" xfId="0" applyFill="1" applyBorder="1" applyAlignment="1" applyProtection="1">
      <alignment horizontal="left" vertical="top"/>
      <protection hidden="1"/>
    </xf>
    <xf numFmtId="0" fontId="0" fillId="30" borderId="26" xfId="0" applyFill="1" applyBorder="1" applyAlignment="1" applyProtection="1">
      <alignment horizontal="left" vertical="top"/>
      <protection hidden="1"/>
    </xf>
    <xf numFmtId="0" fontId="2" fillId="18" borderId="21" xfId="1" applyFill="1" applyBorder="1" applyAlignment="1">
      <alignment horizontal="center" textRotation="90"/>
    </xf>
    <xf numFmtId="0" fontId="2" fillId="13" borderId="29" xfId="0" applyFont="1" applyFill="1" applyBorder="1" applyAlignment="1" applyProtection="1">
      <alignment horizontal="left" vertical="top"/>
      <protection hidden="1"/>
    </xf>
    <xf numFmtId="0" fontId="0" fillId="0" borderId="26" xfId="0" applyBorder="1">
      <alignment vertical="center"/>
    </xf>
    <xf numFmtId="0" fontId="2" fillId="0" borderId="26" xfId="0" applyFont="1" applyBorder="1" applyAlignment="1">
      <alignment vertical="center" wrapText="1"/>
    </xf>
    <xf numFmtId="0" fontId="0" fillId="0" borderId="0" xfId="0" applyAlignment="1"/>
    <xf numFmtId="0" fontId="6" fillId="0" borderId="34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41" xfId="0" applyFont="1" applyBorder="1" applyAlignment="1" applyProtection="1">
      <alignment horizontal="center"/>
      <protection hidden="1"/>
    </xf>
    <xf numFmtId="0" fontId="6" fillId="0" borderId="35" xfId="0" applyFont="1" applyBorder="1" applyAlignment="1" applyProtection="1">
      <alignment horizontal="center"/>
      <protection hidden="1"/>
    </xf>
    <xf numFmtId="0" fontId="6" fillId="0" borderId="42" xfId="0" applyFont="1" applyBorder="1" applyAlignment="1" applyProtection="1">
      <alignment horizontal="center"/>
      <protection hidden="1"/>
    </xf>
    <xf numFmtId="0" fontId="6" fillId="11" borderId="0" xfId="0" applyFont="1" applyFill="1" applyAlignment="1" applyProtection="1"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13" borderId="23" xfId="0" applyFill="1" applyBorder="1" applyAlignment="1" applyProtection="1">
      <alignment horizontal="center"/>
      <protection hidden="1"/>
    </xf>
    <xf numFmtId="0" fontId="0" fillId="13" borderId="43" xfId="0" applyFill="1" applyBorder="1" applyAlignment="1" applyProtection="1">
      <alignment horizontal="center"/>
      <protection hidden="1"/>
    </xf>
    <xf numFmtId="0" fontId="0" fillId="13" borderId="44" xfId="0" quotePrefix="1" applyFill="1" applyBorder="1" applyAlignment="1" applyProtection="1">
      <alignment horizontal="center"/>
      <protection hidden="1"/>
    </xf>
    <xf numFmtId="0" fontId="0" fillId="13" borderId="26" xfId="0" applyFill="1" applyBorder="1" applyAlignment="1" applyProtection="1">
      <alignment horizontal="center"/>
      <protection hidden="1"/>
    </xf>
    <xf numFmtId="0" fontId="0" fillId="13" borderId="38" xfId="0" applyFill="1" applyBorder="1" applyAlignment="1" applyProtection="1">
      <alignment horizontal="center"/>
      <protection hidden="1"/>
    </xf>
    <xf numFmtId="0" fontId="0" fillId="13" borderId="45" xfId="0" applyFill="1" applyBorder="1" applyAlignment="1" applyProtection="1">
      <alignment horizontal="center"/>
      <protection hidden="1"/>
    </xf>
    <xf numFmtId="0" fontId="0" fillId="3" borderId="22" xfId="0" applyFill="1" applyBorder="1" applyAlignment="1" applyProtection="1">
      <alignment horizontal="center"/>
      <protection hidden="1"/>
    </xf>
    <xf numFmtId="0" fontId="0" fillId="3" borderId="29" xfId="0" applyFill="1" applyBorder="1" applyAlignment="1" applyProtection="1">
      <alignment horizontal="center"/>
      <protection hidden="1"/>
    </xf>
    <xf numFmtId="0" fontId="0" fillId="3" borderId="33" xfId="0" applyFill="1" applyBorder="1" applyAlignment="1" applyProtection="1">
      <alignment horizontal="center"/>
      <protection hidden="1"/>
    </xf>
    <xf numFmtId="0" fontId="7" fillId="3" borderId="46" xfId="0" applyFont="1" applyFill="1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13" borderId="29" xfId="0" applyFill="1" applyBorder="1" applyAlignment="1" applyProtection="1">
      <alignment horizontal="center"/>
      <protection hidden="1"/>
    </xf>
    <xf numFmtId="0" fontId="0" fillId="13" borderId="33" xfId="0" applyFill="1" applyBorder="1" applyAlignment="1" applyProtection="1">
      <alignment horizontal="center"/>
      <protection hidden="1"/>
    </xf>
    <xf numFmtId="0" fontId="0" fillId="13" borderId="46" xfId="0" quotePrefix="1" applyFill="1" applyBorder="1" applyAlignment="1" applyProtection="1">
      <alignment horizontal="center"/>
      <protection hidden="1"/>
    </xf>
    <xf numFmtId="0" fontId="0" fillId="13" borderId="44" xfId="0" applyFill="1" applyBorder="1" applyAlignment="1" applyProtection="1">
      <alignment horizontal="center"/>
      <protection hidden="1"/>
    </xf>
    <xf numFmtId="0" fontId="0" fillId="13" borderId="46" xfId="0" applyFill="1" applyBorder="1" applyAlignment="1" applyProtection="1">
      <alignment horizontal="center"/>
      <protection hidden="1"/>
    </xf>
    <xf numFmtId="0" fontId="7" fillId="11" borderId="0" xfId="0" applyFont="1" applyFill="1" applyAlignment="1" applyProtection="1">
      <protection hidden="1"/>
    </xf>
    <xf numFmtId="0" fontId="0" fillId="0" borderId="47" xfId="0" applyBorder="1" applyAlignment="1" applyProtection="1">
      <alignment horizontal="center"/>
      <protection hidden="1"/>
    </xf>
    <xf numFmtId="0" fontId="0" fillId="13" borderId="12" xfId="0" applyFill="1" applyBorder="1" applyAlignment="1" applyProtection="1">
      <protection hidden="1"/>
    </xf>
    <xf numFmtId="0" fontId="0" fillId="13" borderId="12" xfId="0" applyFill="1" applyBorder="1" applyAlignment="1" applyProtection="1">
      <alignment horizontal="center"/>
      <protection hidden="1"/>
    </xf>
    <xf numFmtId="0" fontId="0" fillId="13" borderId="11" xfId="0" applyFill="1" applyBorder="1" applyAlignment="1" applyProtection="1">
      <alignment horizontal="center"/>
      <protection hidden="1"/>
    </xf>
    <xf numFmtId="0" fontId="0" fillId="13" borderId="10" xfId="0" applyFill="1" applyBorder="1" applyAlignment="1" applyProtection="1">
      <alignment horizontal="center"/>
      <protection hidden="1"/>
    </xf>
    <xf numFmtId="0" fontId="7" fillId="13" borderId="48" xfId="0" applyFont="1" applyFill="1" applyBorder="1" applyAlignment="1" applyProtection="1">
      <alignment horizontal="center"/>
      <protection hidden="1"/>
    </xf>
    <xf numFmtId="0" fontId="0" fillId="3" borderId="47" xfId="0" applyFill="1" applyBorder="1" applyAlignment="1" applyProtection="1">
      <alignment horizontal="center"/>
      <protection hidden="1"/>
    </xf>
    <xf numFmtId="0" fontId="0" fillId="3" borderId="26" xfId="0" applyFill="1" applyBorder="1" applyAlignment="1" applyProtection="1">
      <alignment horizontal="left" vertical="center"/>
      <protection hidden="1"/>
    </xf>
    <xf numFmtId="0" fontId="0" fillId="3" borderId="26" xfId="0" applyFill="1" applyBorder="1" applyAlignment="1" applyProtection="1">
      <alignment horizontal="center" vertical="center"/>
      <protection hidden="1"/>
    </xf>
    <xf numFmtId="0" fontId="7" fillId="3" borderId="45" xfId="0" applyFont="1" applyFill="1" applyBorder="1" applyAlignment="1" applyProtection="1">
      <alignment horizontal="center" vertical="center"/>
      <protection hidden="1"/>
    </xf>
    <xf numFmtId="0" fontId="0" fillId="3" borderId="25" xfId="0" applyFill="1" applyBorder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0" fillId="17" borderId="25" xfId="0" applyFill="1" applyBorder="1" applyAlignment="1" applyProtection="1">
      <alignment horizontal="center" vertical="center"/>
      <protection hidden="1"/>
    </xf>
    <xf numFmtId="0" fontId="0" fillId="17" borderId="26" xfId="0" applyFill="1" applyBorder="1" applyAlignment="1" applyProtection="1">
      <alignment horizontal="center" vertical="center"/>
      <protection hidden="1"/>
    </xf>
    <xf numFmtId="0" fontId="0" fillId="17" borderId="38" xfId="0" applyFill="1" applyBorder="1" applyAlignment="1" applyProtection="1">
      <alignment horizontal="center" vertical="center"/>
      <protection hidden="1"/>
    </xf>
    <xf numFmtId="0" fontId="0" fillId="17" borderId="45" xfId="0" quotePrefix="1" applyFill="1" applyBorder="1" applyAlignment="1" applyProtection="1">
      <alignment horizontal="center" vertical="center"/>
      <protection hidden="1"/>
    </xf>
    <xf numFmtId="0" fontId="0" fillId="17" borderId="28" xfId="0" applyFill="1" applyBorder="1" applyAlignment="1" applyProtection="1">
      <alignment horizontal="center" vertical="center"/>
      <protection hidden="1"/>
    </xf>
    <xf numFmtId="0" fontId="0" fillId="17" borderId="29" xfId="0" applyFill="1" applyBorder="1" applyAlignment="1" applyProtection="1">
      <alignment horizontal="center" vertical="center"/>
      <protection hidden="1"/>
    </xf>
    <xf numFmtId="0" fontId="0" fillId="17" borderId="33" xfId="0" applyFill="1" applyBorder="1" applyAlignment="1" applyProtection="1">
      <alignment horizontal="center" vertical="center"/>
      <protection hidden="1"/>
    </xf>
    <xf numFmtId="0" fontId="0" fillId="17" borderId="46" xfId="0" quotePrefix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3" borderId="22" xfId="0" applyFill="1" applyBorder="1" applyAlignment="1" applyProtection="1">
      <alignment horizontal="center" vertical="center"/>
      <protection hidden="1"/>
    </xf>
    <xf numFmtId="0" fontId="0" fillId="3" borderId="37" xfId="0" applyFill="1" applyBorder="1" applyAlignment="1" applyProtection="1">
      <alignment horizontal="left" vertical="top"/>
      <protection hidden="1"/>
    </xf>
    <xf numFmtId="0" fontId="0" fillId="11" borderId="0" xfId="0" applyFill="1" applyAlignment="1" applyProtection="1">
      <alignment horizontal="left"/>
      <protection hidden="1"/>
    </xf>
    <xf numFmtId="0" fontId="0" fillId="0" borderId="50" xfId="0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alignment horizontal="center" vertical="top"/>
      <protection hidden="1"/>
    </xf>
    <xf numFmtId="0" fontId="0" fillId="0" borderId="40" xfId="0" applyBorder="1" applyAlignment="1" applyProtection="1">
      <alignment horizontal="center" vertical="top"/>
      <protection hidden="1"/>
    </xf>
    <xf numFmtId="0" fontId="0" fillId="0" borderId="42" xfId="0" applyBorder="1" applyAlignment="1" applyProtection="1">
      <alignment horizontal="center" vertical="top"/>
      <protection hidden="1"/>
    </xf>
    <xf numFmtId="0" fontId="0" fillId="13" borderId="23" xfId="0" applyFill="1" applyBorder="1" applyAlignment="1" applyProtection="1">
      <alignment horizontal="center" vertical="top"/>
      <protection hidden="1"/>
    </xf>
    <xf numFmtId="0" fontId="0" fillId="13" borderId="43" xfId="0" applyFill="1" applyBorder="1" applyAlignment="1" applyProtection="1">
      <alignment horizontal="center" vertical="top"/>
      <protection hidden="1"/>
    </xf>
    <xf numFmtId="0" fontId="0" fillId="13" borderId="44" xfId="0" applyFill="1" applyBorder="1" applyAlignment="1" applyProtection="1">
      <alignment horizontal="center" vertical="top"/>
      <protection hidden="1"/>
    </xf>
    <xf numFmtId="0" fontId="0" fillId="13" borderId="26" xfId="0" applyFill="1" applyBorder="1" applyAlignment="1" applyProtection="1">
      <alignment horizontal="center" vertical="top"/>
      <protection hidden="1"/>
    </xf>
    <xf numFmtId="0" fontId="0" fillId="13" borderId="45" xfId="0" applyFill="1" applyBorder="1" applyAlignment="1" applyProtection="1">
      <alignment horizontal="center" vertical="top"/>
      <protection hidden="1"/>
    </xf>
    <xf numFmtId="0" fontId="0" fillId="13" borderId="29" xfId="0" applyFill="1" applyBorder="1" applyAlignment="1" applyProtection="1">
      <alignment horizontal="center" vertical="top"/>
      <protection hidden="1"/>
    </xf>
    <xf numFmtId="0" fontId="0" fillId="13" borderId="33" xfId="0" applyFill="1" applyBorder="1" applyAlignment="1" applyProtection="1">
      <alignment horizontal="center" vertical="top"/>
      <protection hidden="1"/>
    </xf>
    <xf numFmtId="0" fontId="7" fillId="13" borderId="46" xfId="0" applyFont="1" applyFill="1" applyBorder="1" applyAlignment="1" applyProtection="1">
      <alignment horizontal="center" vertical="top"/>
      <protection hidden="1"/>
    </xf>
    <xf numFmtId="0" fontId="0" fillId="13" borderId="46" xfId="0" applyFill="1" applyBorder="1" applyAlignment="1" applyProtection="1">
      <alignment horizontal="center" vertical="top"/>
      <protection hidden="1"/>
    </xf>
    <xf numFmtId="0" fontId="7" fillId="13" borderId="44" xfId="0" applyFont="1" applyFill="1" applyBorder="1" applyAlignment="1" applyProtection="1">
      <alignment horizontal="center" vertical="top"/>
      <protection hidden="1"/>
    </xf>
    <xf numFmtId="0" fontId="0" fillId="13" borderId="35" xfId="0" applyFill="1" applyBorder="1" applyAlignment="1" applyProtection="1">
      <alignment horizontal="center" vertical="top"/>
      <protection hidden="1"/>
    </xf>
    <xf numFmtId="0" fontId="0" fillId="13" borderId="40" xfId="0" applyFill="1" applyBorder="1" applyAlignment="1" applyProtection="1">
      <alignment horizontal="center" vertical="top"/>
      <protection hidden="1"/>
    </xf>
    <xf numFmtId="0" fontId="7" fillId="13" borderId="42" xfId="0" applyFont="1" applyFill="1" applyBorder="1" applyAlignment="1" applyProtection="1">
      <alignment horizontal="center" vertical="top"/>
      <protection hidden="1"/>
    </xf>
    <xf numFmtId="0" fontId="0" fillId="11" borderId="0" xfId="0" applyFill="1" applyAlignment="1" applyProtection="1">
      <alignment vertical="top"/>
      <protection hidden="1"/>
    </xf>
    <xf numFmtId="0" fontId="0" fillId="10" borderId="23" xfId="0" applyFill="1" applyBorder="1" applyAlignment="1" applyProtection="1">
      <alignment horizontal="left" vertical="top"/>
      <protection hidden="1"/>
    </xf>
    <xf numFmtId="0" fontId="0" fillId="10" borderId="23" xfId="0" applyFill="1" applyBorder="1" applyAlignment="1" applyProtection="1">
      <alignment horizontal="center" vertical="top"/>
      <protection hidden="1"/>
    </xf>
    <xf numFmtId="0" fontId="0" fillId="10" borderId="44" xfId="0" applyFill="1" applyBorder="1" applyAlignment="1" applyProtection="1">
      <alignment horizontal="center" vertical="top"/>
      <protection hidden="1"/>
    </xf>
    <xf numFmtId="0" fontId="0" fillId="10" borderId="26" xfId="0" applyFill="1" applyBorder="1" applyAlignment="1" applyProtection="1">
      <alignment horizontal="center" vertical="top"/>
      <protection hidden="1"/>
    </xf>
    <xf numFmtId="0" fontId="0" fillId="10" borderId="53" xfId="0" applyFill="1" applyBorder="1" applyAlignment="1" applyProtection="1">
      <alignment horizontal="center" vertical="top"/>
      <protection hidden="1"/>
    </xf>
    <xf numFmtId="0" fontId="0" fillId="10" borderId="45" xfId="0" applyFill="1" applyBorder="1" applyAlignment="1" applyProtection="1">
      <alignment horizontal="center" vertical="top"/>
      <protection hidden="1"/>
    </xf>
    <xf numFmtId="0" fontId="0" fillId="17" borderId="37" xfId="0" applyFill="1" applyBorder="1" applyAlignment="1" applyProtection="1">
      <alignment horizontal="center" vertical="top"/>
      <protection hidden="1"/>
    </xf>
    <xf numFmtId="0" fontId="0" fillId="17" borderId="32" xfId="0" applyFill="1" applyBorder="1" applyAlignment="1" applyProtection="1">
      <alignment horizontal="center" vertical="top"/>
      <protection hidden="1"/>
    </xf>
    <xf numFmtId="0" fontId="0" fillId="17" borderId="53" xfId="0" applyFill="1" applyBorder="1" applyAlignment="1" applyProtection="1">
      <alignment horizontal="center" vertical="top"/>
      <protection hidden="1"/>
    </xf>
    <xf numFmtId="0" fontId="0" fillId="17" borderId="26" xfId="0" applyFill="1" applyBorder="1" applyAlignment="1" applyProtection="1">
      <alignment horizontal="center" vertical="top"/>
      <protection hidden="1"/>
    </xf>
    <xf numFmtId="0" fontId="0" fillId="17" borderId="38" xfId="0" applyFill="1" applyBorder="1" applyAlignment="1" applyProtection="1">
      <alignment horizontal="center" vertical="top"/>
      <protection hidden="1"/>
    </xf>
    <xf numFmtId="0" fontId="7" fillId="17" borderId="53" xfId="0" applyFont="1" applyFill="1" applyBorder="1" applyAlignment="1" applyProtection="1">
      <alignment horizontal="center" vertical="top"/>
      <protection hidden="1"/>
    </xf>
    <xf numFmtId="0" fontId="0" fillId="17" borderId="53" xfId="0" quotePrefix="1" applyFill="1" applyBorder="1" applyAlignment="1" applyProtection="1">
      <alignment horizontal="center" vertical="top"/>
      <protection hidden="1"/>
    </xf>
    <xf numFmtId="0" fontId="0" fillId="17" borderId="1" xfId="0" applyFill="1" applyBorder="1" applyAlignment="1" applyProtection="1">
      <alignment horizontal="left" vertical="top"/>
      <protection hidden="1"/>
    </xf>
    <xf numFmtId="0" fontId="0" fillId="17" borderId="1" xfId="0" applyFill="1" applyBorder="1" applyAlignment="1" applyProtection="1">
      <alignment horizontal="center" vertical="top"/>
      <protection hidden="1"/>
    </xf>
    <xf numFmtId="0" fontId="0" fillId="17" borderId="30" xfId="0" applyFill="1" applyBorder="1" applyAlignment="1" applyProtection="1">
      <alignment horizontal="center" vertical="top"/>
      <protection hidden="1"/>
    </xf>
    <xf numFmtId="0" fontId="0" fillId="17" borderId="54" xfId="0" applyFill="1" applyBorder="1" applyAlignment="1" applyProtection="1">
      <alignment horizontal="center" vertical="top"/>
      <protection hidden="1"/>
    </xf>
    <xf numFmtId="0" fontId="0" fillId="17" borderId="29" xfId="0" applyFill="1" applyBorder="1" applyAlignment="1" applyProtection="1">
      <alignment horizontal="center" vertical="top"/>
      <protection hidden="1"/>
    </xf>
    <xf numFmtId="0" fontId="0" fillId="17" borderId="33" xfId="0" applyFill="1" applyBorder="1" applyAlignment="1" applyProtection="1">
      <alignment horizontal="center" vertical="top"/>
      <protection hidden="1"/>
    </xf>
    <xf numFmtId="0" fontId="7" fillId="17" borderId="55" xfId="0" applyFont="1" applyFill="1" applyBorder="1" applyAlignment="1" applyProtection="1">
      <alignment horizontal="center" vertical="top"/>
      <protection hidden="1"/>
    </xf>
    <xf numFmtId="0" fontId="0" fillId="16" borderId="37" xfId="0" applyFill="1" applyBorder="1" applyAlignment="1" applyProtection="1">
      <alignment horizontal="center" vertical="top"/>
      <protection hidden="1"/>
    </xf>
    <xf numFmtId="0" fontId="0" fillId="16" borderId="32" xfId="0" applyFill="1" applyBorder="1" applyAlignment="1" applyProtection="1">
      <alignment horizontal="center" vertical="top"/>
      <protection hidden="1"/>
    </xf>
    <xf numFmtId="0" fontId="0" fillId="16" borderId="53" xfId="0" applyFill="1" applyBorder="1" applyAlignment="1" applyProtection="1">
      <alignment horizontal="center" vertical="top"/>
      <protection hidden="1"/>
    </xf>
    <xf numFmtId="0" fontId="0" fillId="16" borderId="26" xfId="0" applyFill="1" applyBorder="1" applyAlignment="1" applyProtection="1">
      <alignment horizontal="center" vertical="top"/>
      <protection hidden="1"/>
    </xf>
    <xf numFmtId="0" fontId="0" fillId="16" borderId="38" xfId="0" applyFill="1" applyBorder="1" applyAlignment="1" applyProtection="1">
      <alignment horizontal="center" vertical="top"/>
      <protection hidden="1"/>
    </xf>
    <xf numFmtId="0" fontId="7" fillId="16" borderId="53" xfId="0" applyFont="1" applyFill="1" applyBorder="1" applyAlignment="1" applyProtection="1">
      <alignment horizontal="center" vertical="top"/>
      <protection hidden="1"/>
    </xf>
    <xf numFmtId="0" fontId="0" fillId="16" borderId="53" xfId="0" quotePrefix="1" applyFill="1" applyBorder="1" applyAlignment="1" applyProtection="1">
      <alignment horizontal="center" vertical="top"/>
      <protection hidden="1"/>
    </xf>
    <xf numFmtId="0" fontId="0" fillId="16" borderId="1" xfId="0" applyFill="1" applyBorder="1" applyAlignment="1" applyProtection="1">
      <alignment horizontal="left" vertical="top"/>
      <protection hidden="1"/>
    </xf>
    <xf numFmtId="0" fontId="0" fillId="16" borderId="1" xfId="0" applyFill="1" applyBorder="1" applyAlignment="1" applyProtection="1">
      <alignment horizontal="center" vertical="top"/>
      <protection hidden="1"/>
    </xf>
    <xf numFmtId="0" fontId="0" fillId="16" borderId="30" xfId="0" applyFill="1" applyBorder="1" applyAlignment="1" applyProtection="1">
      <alignment horizontal="center" vertical="top"/>
      <protection hidden="1"/>
    </xf>
    <xf numFmtId="0" fontId="0" fillId="16" borderId="54" xfId="0" applyFill="1" applyBorder="1" applyAlignment="1" applyProtection="1">
      <alignment horizontal="center" vertical="top"/>
      <protection hidden="1"/>
    </xf>
    <xf numFmtId="0" fontId="0" fillId="16" borderId="29" xfId="0" applyFill="1" applyBorder="1" applyAlignment="1" applyProtection="1">
      <alignment horizontal="center" vertical="top"/>
      <protection hidden="1"/>
    </xf>
    <xf numFmtId="0" fontId="0" fillId="16" borderId="33" xfId="0" applyFill="1" applyBorder="1" applyAlignment="1" applyProtection="1">
      <alignment horizontal="center" vertical="top"/>
      <protection hidden="1"/>
    </xf>
    <xf numFmtId="0" fontId="7" fillId="16" borderId="55" xfId="0" applyFont="1" applyFill="1" applyBorder="1" applyAlignment="1" applyProtection="1">
      <alignment horizontal="center" vertical="top"/>
      <protection hidden="1"/>
    </xf>
    <xf numFmtId="0" fontId="0" fillId="20" borderId="26" xfId="0" applyFill="1" applyBorder="1" applyAlignment="1" applyProtection="1">
      <alignment horizontal="center" vertical="top"/>
      <protection hidden="1"/>
    </xf>
    <xf numFmtId="0" fontId="0" fillId="20" borderId="38" xfId="0" applyFill="1" applyBorder="1" applyAlignment="1" applyProtection="1">
      <alignment horizontal="center" vertical="top"/>
      <protection hidden="1"/>
    </xf>
    <xf numFmtId="0" fontId="0" fillId="20" borderId="45" xfId="0" applyFill="1" applyBorder="1" applyAlignment="1" applyProtection="1">
      <alignment horizontal="center" vertical="top"/>
      <protection hidden="1"/>
    </xf>
    <xf numFmtId="0" fontId="0" fillId="20" borderId="45" xfId="0" quotePrefix="1" applyFill="1" applyBorder="1" applyAlignment="1" applyProtection="1">
      <alignment horizontal="center" vertical="top"/>
      <protection hidden="1"/>
    </xf>
    <xf numFmtId="0" fontId="6" fillId="20" borderId="45" xfId="0" applyFont="1" applyFill="1" applyBorder="1" applyAlignment="1" applyProtection="1">
      <alignment horizontal="center" vertical="top"/>
      <protection hidden="1"/>
    </xf>
    <xf numFmtId="0" fontId="0" fillId="20" borderId="29" xfId="0" applyFill="1" applyBorder="1" applyAlignment="1" applyProtection="1">
      <alignment horizontal="center" vertical="top"/>
      <protection hidden="1"/>
    </xf>
    <xf numFmtId="0" fontId="0" fillId="20" borderId="33" xfId="0" applyFill="1" applyBorder="1" applyAlignment="1" applyProtection="1">
      <alignment horizontal="center" vertical="top"/>
      <protection hidden="1"/>
    </xf>
    <xf numFmtId="0" fontId="0" fillId="20" borderId="46" xfId="0" applyFill="1" applyBorder="1" applyAlignment="1" applyProtection="1">
      <alignment horizontal="center" vertical="top"/>
      <protection hidden="1"/>
    </xf>
    <xf numFmtId="0" fontId="11" fillId="32" borderId="59" xfId="0" applyFont="1" applyFill="1" applyBorder="1" applyAlignment="1">
      <alignment vertical="center" wrapText="1"/>
    </xf>
    <xf numFmtId="0" fontId="11" fillId="32" borderId="60" xfId="0" applyFont="1" applyFill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60" xfId="0" applyFont="1" applyBorder="1" applyAlignment="1">
      <alignment vertical="center" wrapText="1"/>
    </xf>
    <xf numFmtId="0" fontId="14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6" fillId="32" borderId="59" xfId="0" applyFont="1" applyFill="1" applyBorder="1" applyAlignment="1">
      <alignment vertical="center" wrapText="1"/>
    </xf>
    <xf numFmtId="0" fontId="16" fillId="32" borderId="60" xfId="0" applyFont="1" applyFill="1" applyBorder="1" applyAlignment="1">
      <alignment vertical="center" wrapText="1"/>
    </xf>
    <xf numFmtId="0" fontId="12" fillId="25" borderId="59" xfId="0" applyFont="1" applyFill="1" applyBorder="1" applyAlignment="1">
      <alignment vertical="center" wrapText="1"/>
    </xf>
    <xf numFmtId="0" fontId="12" fillId="25" borderId="60" xfId="0" applyFont="1" applyFill="1" applyBorder="1" applyAlignment="1">
      <alignment vertical="center" wrapText="1"/>
    </xf>
    <xf numFmtId="0" fontId="12" fillId="8" borderId="59" xfId="0" applyFont="1" applyFill="1" applyBorder="1" applyAlignment="1">
      <alignment vertical="center" wrapText="1"/>
    </xf>
    <xf numFmtId="0" fontId="12" fillId="8" borderId="60" xfId="0" applyFont="1" applyFill="1" applyBorder="1" applyAlignment="1">
      <alignment vertical="center" wrapText="1"/>
    </xf>
    <xf numFmtId="0" fontId="17" fillId="0" borderId="59" xfId="0" applyFont="1" applyBorder="1" applyAlignment="1">
      <alignment vertical="center" wrapText="1"/>
    </xf>
    <xf numFmtId="0" fontId="2" fillId="11" borderId="0" xfId="0" applyFont="1" applyFill="1" applyAlignment="1" applyProtection="1">
      <alignment horizontal="left" wrapText="1"/>
      <protection hidden="1"/>
    </xf>
    <xf numFmtId="0" fontId="2" fillId="13" borderId="31" xfId="0" applyFont="1" applyFill="1" applyBorder="1" applyAlignment="1" applyProtection="1">
      <alignment horizontal="center" vertical="top" wrapText="1"/>
      <protection hidden="1"/>
    </xf>
    <xf numFmtId="0" fontId="2" fillId="13" borderId="31" xfId="0" applyFont="1" applyFill="1" applyBorder="1" applyAlignment="1" applyProtection="1">
      <alignment horizontal="center" vertical="top"/>
      <protection hidden="1"/>
    </xf>
    <xf numFmtId="0" fontId="2" fillId="25" borderId="26" xfId="0" applyFont="1" applyFill="1" applyBorder="1" applyAlignment="1" applyProtection="1">
      <alignment horizontal="left" vertical="top"/>
      <protection hidden="1"/>
    </xf>
    <xf numFmtId="0" fontId="2" fillId="17" borderId="26" xfId="0" applyFont="1" applyFill="1" applyBorder="1" applyAlignment="1" applyProtection="1">
      <alignment horizontal="left" vertical="top"/>
      <protection hidden="1"/>
    </xf>
    <xf numFmtId="0" fontId="0" fillId="26" borderId="26" xfId="0" applyFill="1" applyBorder="1" applyAlignment="1" applyProtection="1">
      <alignment horizontal="left" vertical="top"/>
      <protection hidden="1"/>
    </xf>
    <xf numFmtId="0" fontId="0" fillId="13" borderId="26" xfId="0" applyFill="1" applyBorder="1" applyAlignment="1" applyProtection="1">
      <alignment horizontal="left" vertical="top"/>
      <protection hidden="1"/>
    </xf>
    <xf numFmtId="0" fontId="0" fillId="27" borderId="26" xfId="0" applyFill="1" applyBorder="1" applyAlignment="1" applyProtection="1">
      <alignment vertical="top"/>
      <protection hidden="1"/>
    </xf>
    <xf numFmtId="0" fontId="2" fillId="0" borderId="26" xfId="0" applyFont="1" applyBorder="1">
      <alignment vertical="center"/>
    </xf>
    <xf numFmtId="0" fontId="0" fillId="0" borderId="26" xfId="0" applyBorder="1" applyAlignment="1">
      <alignment horizontal="right" vertical="center"/>
    </xf>
    <xf numFmtId="0" fontId="2" fillId="8" borderId="26" xfId="0" applyFont="1" applyFill="1" applyBorder="1" applyAlignment="1" applyProtection="1">
      <alignment horizontal="left" vertical="top"/>
      <protection hidden="1"/>
    </xf>
    <xf numFmtId="0" fontId="0" fillId="8" borderId="26" xfId="0" applyFill="1" applyBorder="1" applyAlignment="1" applyProtection="1">
      <alignment horizontal="left" vertical="top"/>
      <protection hidden="1"/>
    </xf>
    <xf numFmtId="0" fontId="2" fillId="16" borderId="26" xfId="0" applyFont="1" applyFill="1" applyBorder="1" applyAlignment="1" applyProtection="1">
      <alignment horizontal="left" vertical="center"/>
      <protection hidden="1"/>
    </xf>
    <xf numFmtId="0" fontId="2" fillId="25" borderId="26" xfId="1" applyFill="1" applyBorder="1" applyAlignment="1">
      <alignment horizontal="left"/>
    </xf>
    <xf numFmtId="0" fontId="2" fillId="26" borderId="26" xfId="1" applyFill="1" applyBorder="1" applyAlignment="1">
      <alignment horizontal="left"/>
    </xf>
    <xf numFmtId="0" fontId="2" fillId="29" borderId="26" xfId="1" applyFill="1" applyBorder="1" applyAlignment="1">
      <alignment horizontal="left"/>
    </xf>
    <xf numFmtId="0" fontId="2" fillId="23" borderId="26" xfId="1" applyFill="1" applyBorder="1" applyAlignment="1">
      <alignment horizontal="left"/>
    </xf>
    <xf numFmtId="0" fontId="2" fillId="23" borderId="26" xfId="1" applyFill="1" applyBorder="1" applyAlignment="1"/>
    <xf numFmtId="0" fontId="2" fillId="26" borderId="26" xfId="0" applyFont="1" applyFill="1" applyBorder="1" applyAlignment="1" applyProtection="1">
      <alignment horizontal="left" vertical="top"/>
      <protection hidden="1"/>
    </xf>
    <xf numFmtId="0" fontId="2" fillId="13" borderId="26" xfId="0" applyFont="1" applyFill="1" applyBorder="1" applyAlignment="1" applyProtection="1">
      <alignment horizontal="left" vertical="top"/>
      <protection hidden="1"/>
    </xf>
    <xf numFmtId="0" fontId="2" fillId="13" borderId="26" xfId="0" applyFont="1" applyFill="1" applyBorder="1" applyAlignment="1" applyProtection="1">
      <alignment vertical="top"/>
      <protection hidden="1"/>
    </xf>
    <xf numFmtId="0" fontId="2" fillId="4" borderId="26" xfId="0" applyFont="1" applyFill="1" applyBorder="1">
      <alignment vertical="center"/>
    </xf>
    <xf numFmtId="0" fontId="2" fillId="7" borderId="26" xfId="0" applyFont="1" applyFill="1" applyBorder="1">
      <alignment vertical="center"/>
    </xf>
    <xf numFmtId="0" fontId="2" fillId="23" borderId="26" xfId="0" applyFont="1" applyFill="1" applyBorder="1" applyAlignment="1" applyProtection="1">
      <alignment vertical="top"/>
      <protection hidden="1"/>
    </xf>
    <xf numFmtId="0" fontId="2" fillId="27" borderId="26" xfId="0" applyFont="1" applyFill="1" applyBorder="1" applyAlignment="1" applyProtection="1">
      <alignment horizontal="left" vertical="top"/>
      <protection hidden="1"/>
    </xf>
    <xf numFmtId="0" fontId="2" fillId="8" borderId="26" xfId="0" applyFont="1" applyFill="1" applyBorder="1" applyAlignment="1" applyProtection="1">
      <alignment vertical="top"/>
      <protection hidden="1"/>
    </xf>
    <xf numFmtId="0" fontId="2" fillId="20" borderId="26" xfId="0" applyFont="1" applyFill="1" applyBorder="1" applyAlignment="1" applyProtection="1">
      <alignment horizontal="left" vertical="top"/>
      <protection hidden="1"/>
    </xf>
    <xf numFmtId="0" fontId="2" fillId="27" borderId="26" xfId="0" applyFont="1" applyFill="1" applyBorder="1" applyAlignment="1" applyProtection="1">
      <alignment horizontal="left" vertical="top" wrapText="1"/>
      <protection hidden="1"/>
    </xf>
    <xf numFmtId="0" fontId="0" fillId="9" borderId="26" xfId="0" applyFill="1" applyBorder="1">
      <alignment vertical="center"/>
    </xf>
    <xf numFmtId="0" fontId="2" fillId="23" borderId="26" xfId="1" applyFill="1" applyBorder="1" applyAlignment="1">
      <alignment horizontal="center"/>
    </xf>
    <xf numFmtId="0" fontId="2" fillId="29" borderId="26" xfId="1" applyFill="1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2" fillId="25" borderId="26" xfId="1" applyFill="1" applyBorder="1" applyAlignment="1">
      <alignment horizontal="center"/>
    </xf>
    <xf numFmtId="0" fontId="0" fillId="17" borderId="26" xfId="0" applyFill="1" applyBorder="1" applyAlignment="1" applyProtection="1">
      <alignment horizontal="right" vertical="top"/>
      <protection hidden="1"/>
    </xf>
    <xf numFmtId="0" fontId="0" fillId="31" borderId="26" xfId="0" applyFill="1" applyBorder="1" applyAlignment="1" applyProtection="1">
      <alignment horizontal="right" vertical="top"/>
      <protection hidden="1"/>
    </xf>
    <xf numFmtId="0" fontId="2" fillId="25" borderId="26" xfId="1" applyFill="1" applyBorder="1" applyAlignment="1">
      <alignment horizontal="left" textRotation="90"/>
    </xf>
    <xf numFmtId="0" fontId="2" fillId="13" borderId="26" xfId="0" applyFont="1" applyFill="1" applyBorder="1" applyAlignment="1" applyProtection="1">
      <alignment horizontal="left" vertical="top" textRotation="90"/>
      <protection hidden="1"/>
    </xf>
    <xf numFmtId="0" fontId="2" fillId="18" borderId="26" xfId="1" applyFill="1" applyBorder="1" applyAlignment="1">
      <alignment horizontal="left" textRotation="90"/>
    </xf>
    <xf numFmtId="0" fontId="2" fillId="25" borderId="26" xfId="1" applyFill="1" applyBorder="1" applyAlignment="1">
      <alignment horizontal="left" vertical="top" textRotation="90"/>
    </xf>
    <xf numFmtId="0" fontId="2" fillId="26" borderId="26" xfId="1" applyFill="1" applyBorder="1" applyAlignment="1">
      <alignment horizontal="left" vertical="top" textRotation="90"/>
    </xf>
    <xf numFmtId="0" fontId="2" fillId="16" borderId="26" xfId="0" applyFont="1" applyFill="1" applyBorder="1" applyAlignment="1" applyProtection="1">
      <alignment horizontal="left" vertical="top" textRotation="90"/>
      <protection hidden="1"/>
    </xf>
    <xf numFmtId="0" fontId="2" fillId="4" borderId="26" xfId="1" applyFill="1" applyBorder="1" applyAlignment="1">
      <alignment horizontal="left" vertical="top" textRotation="90"/>
    </xf>
    <xf numFmtId="0" fontId="2" fillId="18" borderId="26" xfId="1" applyFill="1" applyBorder="1" applyAlignment="1">
      <alignment horizontal="left" vertical="top" textRotation="90"/>
    </xf>
    <xf numFmtId="0" fontId="0" fillId="26" borderId="26" xfId="0" applyFill="1" applyBorder="1" applyAlignment="1" applyProtection="1">
      <alignment vertical="top" textRotation="90"/>
      <protection hidden="1"/>
    </xf>
    <xf numFmtId="0" fontId="2" fillId="29" borderId="26" xfId="1" applyFill="1" applyBorder="1" applyAlignment="1">
      <alignment horizontal="left" textRotation="90"/>
    </xf>
    <xf numFmtId="0" fontId="2" fillId="30" borderId="26" xfId="1" applyFill="1" applyBorder="1" applyAlignment="1">
      <alignment horizontal="left" textRotation="90"/>
    </xf>
    <xf numFmtId="0" fontId="2" fillId="20" borderId="26" xfId="0" applyFont="1" applyFill="1" applyBorder="1" applyAlignment="1" applyProtection="1">
      <alignment horizontal="left" textRotation="90"/>
      <protection hidden="1"/>
    </xf>
    <xf numFmtId="0" fontId="2" fillId="34" borderId="21" xfId="0" applyFont="1" applyFill="1" applyBorder="1" applyAlignment="1" applyProtection="1">
      <alignment horizontal="left" textRotation="90"/>
      <protection hidden="1"/>
    </xf>
    <xf numFmtId="0" fontId="2" fillId="23" borderId="26" xfId="1" applyFill="1" applyBorder="1" applyAlignment="1">
      <alignment horizontal="left" vertical="top" textRotation="90"/>
    </xf>
    <xf numFmtId="0" fontId="2" fillId="7" borderId="26" xfId="1" applyFill="1" applyBorder="1" applyAlignment="1">
      <alignment horizontal="left" vertical="top" textRotation="90"/>
    </xf>
    <xf numFmtId="0" fontId="2" fillId="23" borderId="0" xfId="1" applyFill="1" applyAlignment="1">
      <alignment horizontal="left" textRotation="90"/>
    </xf>
    <xf numFmtId="0" fontId="2" fillId="23" borderId="26" xfId="1" applyFill="1" applyBorder="1" applyAlignment="1">
      <alignment horizontal="left" textRotation="90"/>
    </xf>
    <xf numFmtId="0" fontId="0" fillId="4" borderId="26" xfId="0" applyFill="1" applyBorder="1" applyAlignment="1" applyProtection="1">
      <alignment horizontal="right" vertical="top"/>
      <protection hidden="1"/>
    </xf>
    <xf numFmtId="0" fontId="0" fillId="28" borderId="26" xfId="0" applyFill="1" applyBorder="1" applyAlignment="1" applyProtection="1">
      <alignment horizontal="right"/>
      <protection hidden="1"/>
    </xf>
    <xf numFmtId="0" fontId="0" fillId="21" borderId="26" xfId="0" applyFill="1" applyBorder="1" applyAlignment="1" applyProtection="1">
      <alignment horizontal="right"/>
      <protection hidden="1"/>
    </xf>
    <xf numFmtId="0" fontId="0" fillId="31" borderId="26" xfId="0" applyFill="1" applyBorder="1" applyAlignment="1" applyProtection="1">
      <alignment horizontal="right"/>
      <protection hidden="1"/>
    </xf>
    <xf numFmtId="0" fontId="0" fillId="30" borderId="26" xfId="0" applyFill="1" applyBorder="1" applyAlignment="1" applyProtection="1">
      <alignment horizontal="right"/>
      <protection hidden="1"/>
    </xf>
    <xf numFmtId="0" fontId="2" fillId="8" borderId="26" xfId="0" applyFont="1" applyFill="1" applyBorder="1" applyAlignment="1" applyProtection="1">
      <alignment horizontal="right"/>
      <protection hidden="1"/>
    </xf>
    <xf numFmtId="0" fontId="0" fillId="17" borderId="26" xfId="0" applyFill="1" applyBorder="1" applyAlignment="1" applyProtection="1">
      <alignment horizontal="right"/>
      <protection hidden="1"/>
    </xf>
    <xf numFmtId="0" fontId="2" fillId="25" borderId="26" xfId="0" applyFont="1" applyFill="1" applyBorder="1" applyAlignment="1" applyProtection="1">
      <alignment horizontal="right"/>
      <protection hidden="1"/>
    </xf>
    <xf numFmtId="0" fontId="2" fillId="17" borderId="26" xfId="0" applyFont="1" applyFill="1" applyBorder="1" applyAlignment="1" applyProtection="1">
      <alignment horizontal="right"/>
      <protection hidden="1"/>
    </xf>
    <xf numFmtId="0" fontId="0" fillId="25" borderId="26" xfId="0" applyFill="1" applyBorder="1" applyAlignment="1" applyProtection="1">
      <alignment horizontal="right"/>
      <protection hidden="1"/>
    </xf>
    <xf numFmtId="0" fontId="2" fillId="29" borderId="26" xfId="1" applyFill="1" applyBorder="1" applyAlignment="1">
      <alignment horizontal="left" vertical="top" textRotation="90"/>
    </xf>
    <xf numFmtId="0" fontId="0" fillId="28" borderId="0" xfId="0" applyFill="1" applyAlignment="1" applyProtection="1">
      <alignment horizontal="left" textRotation="90"/>
      <protection hidden="1"/>
    </xf>
    <xf numFmtId="0" fontId="0" fillId="28" borderId="26" xfId="0" applyFill="1" applyBorder="1" applyAlignment="1" applyProtection="1">
      <alignment horizontal="left" textRotation="90"/>
      <protection hidden="1"/>
    </xf>
    <xf numFmtId="0" fontId="2" fillId="27" borderId="26" xfId="0" applyFont="1" applyFill="1" applyBorder="1" applyAlignment="1" applyProtection="1">
      <alignment horizontal="left" textRotation="90"/>
      <protection hidden="1"/>
    </xf>
    <xf numFmtId="0" fontId="2" fillId="27" borderId="26" xfId="0" applyFont="1" applyFill="1" applyBorder="1" applyAlignment="1" applyProtection="1">
      <alignment horizontal="left" textRotation="90" wrapText="1"/>
      <protection hidden="1"/>
    </xf>
    <xf numFmtId="0" fontId="0" fillId="17" borderId="37" xfId="0" applyFill="1" applyBorder="1" applyAlignment="1" applyProtection="1">
      <alignment horizontal="right" vertical="top"/>
      <protection hidden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16" borderId="26" xfId="0" applyFont="1" applyFill="1" applyBorder="1" applyAlignment="1" applyProtection="1">
      <alignment horizontal="right"/>
      <protection hidden="1"/>
    </xf>
    <xf numFmtId="0" fontId="0" fillId="0" borderId="0" xfId="0" applyAlignment="1">
      <alignment horizontal="left" vertical="top"/>
    </xf>
    <xf numFmtId="0" fontId="2" fillId="30" borderId="25" xfId="1" applyFill="1" applyBorder="1" applyAlignment="1">
      <alignment horizontal="left" textRotation="90"/>
    </xf>
    <xf numFmtId="0" fontId="2" fillId="23" borderId="38" xfId="1" applyFill="1" applyBorder="1" applyAlignment="1">
      <alignment horizontal="left" textRotation="90"/>
    </xf>
    <xf numFmtId="0" fontId="2" fillId="23" borderId="63" xfId="1" applyFill="1" applyBorder="1" applyAlignment="1">
      <alignment horizontal="center" textRotation="90"/>
    </xf>
    <xf numFmtId="0" fontId="0" fillId="2" borderId="64" xfId="0" applyFill="1" applyBorder="1" applyAlignment="1">
      <alignment horizontal="right" vertical="center"/>
    </xf>
    <xf numFmtId="0" fontId="2" fillId="2" borderId="64" xfId="0" applyFont="1" applyFill="1" applyBorder="1" applyAlignment="1">
      <alignment horizontal="right" vertical="center"/>
    </xf>
    <xf numFmtId="0" fontId="0" fillId="2" borderId="65" xfId="0" applyFill="1" applyBorder="1" applyAlignment="1">
      <alignment horizontal="right"/>
    </xf>
    <xf numFmtId="0" fontId="2" fillId="2" borderId="64" xfId="0" applyFont="1" applyFill="1" applyBorder="1" applyAlignment="1">
      <alignment horizontal="right"/>
    </xf>
    <xf numFmtId="0" fontId="2" fillId="23" borderId="64" xfId="0" applyFont="1" applyFill="1" applyBorder="1" applyAlignment="1" applyProtection="1">
      <alignment horizontal="left" textRotation="90"/>
      <protection hidden="1"/>
    </xf>
    <xf numFmtId="0" fontId="2" fillId="23" borderId="66" xfId="0" applyFont="1" applyFill="1" applyBorder="1" applyAlignment="1" applyProtection="1">
      <alignment horizontal="left" textRotation="90"/>
      <protection hidden="1"/>
    </xf>
    <xf numFmtId="0" fontId="0" fillId="25" borderId="1" xfId="0" applyFill="1" applyBorder="1" applyAlignment="1" applyProtection="1">
      <alignment horizontal="right"/>
      <protection hidden="1"/>
    </xf>
    <xf numFmtId="0" fontId="0" fillId="13" borderId="19" xfId="0" applyFill="1" applyBorder="1" applyAlignment="1" applyProtection="1">
      <alignment horizontal="right"/>
      <protection hidden="1"/>
    </xf>
    <xf numFmtId="0" fontId="0" fillId="13" borderId="37" xfId="0" applyFill="1" applyBorder="1" applyAlignment="1" applyProtection="1">
      <alignment horizontal="right"/>
      <protection hidden="1"/>
    </xf>
    <xf numFmtId="0" fontId="0" fillId="27" borderId="1" xfId="0" applyFill="1" applyBorder="1" applyAlignment="1" applyProtection="1">
      <alignment vertical="top"/>
      <protection hidden="1"/>
    </xf>
    <xf numFmtId="0" fontId="0" fillId="31" borderId="37" xfId="0" applyFill="1" applyBorder="1" applyAlignment="1" applyProtection="1">
      <alignment horizontal="left" vertical="top"/>
      <protection hidden="1"/>
    </xf>
    <xf numFmtId="0" fontId="2" fillId="27" borderId="64" xfId="0" applyFont="1" applyFill="1" applyBorder="1" applyAlignment="1" applyProtection="1">
      <alignment vertical="top"/>
      <protection hidden="1"/>
    </xf>
    <xf numFmtId="0" fontId="18" fillId="7" borderId="26" xfId="0" applyFont="1" applyFill="1" applyBorder="1">
      <alignment vertical="center"/>
    </xf>
    <xf numFmtId="0" fontId="18" fillId="4" borderId="26" xfId="0" applyFont="1" applyFill="1" applyBorder="1">
      <alignment vertical="center"/>
    </xf>
    <xf numFmtId="0" fontId="2" fillId="26" borderId="64" xfId="1" applyFill="1" applyBorder="1" applyAlignment="1">
      <alignment horizontal="right" vertical="center"/>
    </xf>
    <xf numFmtId="0" fontId="2" fillId="8" borderId="37" xfId="0" applyFont="1" applyFill="1" applyBorder="1" applyAlignment="1" applyProtection="1">
      <alignment horizontal="right"/>
      <protection hidden="1"/>
    </xf>
    <xf numFmtId="0" fontId="2" fillId="25" borderId="38" xfId="1" applyFill="1" applyBorder="1" applyAlignment="1">
      <alignment horizontal="left" vertical="top" textRotation="90"/>
    </xf>
    <xf numFmtId="0" fontId="2" fillId="29" borderId="25" xfId="1" applyFill="1" applyBorder="1" applyAlignment="1">
      <alignment horizontal="left" vertical="top" textRotation="90"/>
    </xf>
    <xf numFmtId="0" fontId="2" fillId="26" borderId="64" xfId="1" applyFill="1" applyBorder="1" applyAlignment="1">
      <alignment horizontal="left" vertical="top" textRotation="90"/>
    </xf>
    <xf numFmtId="0" fontId="2" fillId="25" borderId="64" xfId="0" applyFont="1" applyFill="1" applyBorder="1" applyAlignment="1" applyProtection="1">
      <alignment horizontal="right" vertical="top" textRotation="90"/>
      <protection hidden="1"/>
    </xf>
    <xf numFmtId="0" fontId="0" fillId="0" borderId="1" xfId="0" applyBorder="1">
      <alignment vertical="center"/>
    </xf>
    <xf numFmtId="0" fontId="0" fillId="0" borderId="38" xfId="0" applyBorder="1">
      <alignment vertical="center"/>
    </xf>
    <xf numFmtId="0" fontId="0" fillId="0" borderId="25" xfId="0" applyBorder="1">
      <alignment vertical="center"/>
    </xf>
    <xf numFmtId="0" fontId="0" fillId="0" borderId="37" xfId="0" applyBorder="1">
      <alignment vertical="center"/>
    </xf>
    <xf numFmtId="0" fontId="2" fillId="16" borderId="68" xfId="0" applyFont="1" applyFill="1" applyBorder="1" applyAlignment="1" applyProtection="1">
      <alignment horizontal="center" vertical="center"/>
      <protection hidden="1"/>
    </xf>
    <xf numFmtId="0" fontId="0" fillId="0" borderId="64" xfId="0" applyBorder="1">
      <alignment vertical="center"/>
    </xf>
    <xf numFmtId="0" fontId="0" fillId="0" borderId="69" xfId="0" applyBorder="1">
      <alignment vertical="center"/>
    </xf>
    <xf numFmtId="0" fontId="0" fillId="0" borderId="71" xfId="0" applyBorder="1">
      <alignment vertical="center"/>
    </xf>
    <xf numFmtId="0" fontId="0" fillId="0" borderId="75" xfId="0" applyBorder="1">
      <alignment vertical="center"/>
    </xf>
    <xf numFmtId="0" fontId="2" fillId="29" borderId="38" xfId="1" applyFill="1" applyBorder="1" applyAlignment="1">
      <alignment horizontal="left"/>
    </xf>
    <xf numFmtId="0" fontId="2" fillId="23" borderId="1" xfId="1" applyFill="1" applyBorder="1" applyAlignment="1">
      <alignment horizontal="center"/>
    </xf>
    <xf numFmtId="0" fontId="2" fillId="23" borderId="37" xfId="1" applyFill="1" applyBorder="1" applyAlignment="1">
      <alignment horizontal="center"/>
    </xf>
    <xf numFmtId="0" fontId="2" fillId="23" borderId="70" xfId="0" applyFont="1" applyFill="1" applyBorder="1" applyAlignment="1" applyProtection="1">
      <alignment horizontal="left" vertical="top"/>
      <protection hidden="1"/>
    </xf>
    <xf numFmtId="0" fontId="2" fillId="23" borderId="72" xfId="0" applyFont="1" applyFill="1" applyBorder="1" applyAlignment="1" applyProtection="1">
      <alignment horizontal="left" vertical="top"/>
      <protection hidden="1"/>
    </xf>
    <xf numFmtId="0" fontId="18" fillId="4" borderId="1" xfId="0" applyFont="1" applyFill="1" applyBorder="1">
      <alignment vertical="center"/>
    </xf>
    <xf numFmtId="0" fontId="18" fillId="0" borderId="26" xfId="0" applyFont="1" applyBorder="1">
      <alignment vertical="center"/>
    </xf>
    <xf numFmtId="0" fontId="19" fillId="0" borderId="26" xfId="0" applyFont="1" applyBorder="1" applyAlignment="1" applyProtection="1">
      <alignment horizontal="left" vertical="top"/>
      <protection hidden="1"/>
    </xf>
    <xf numFmtId="0" fontId="20" fillId="0" borderId="26" xfId="0" applyFont="1" applyBorder="1" applyAlignment="1" applyProtection="1">
      <alignment horizontal="left" vertical="top"/>
      <protection hidden="1"/>
    </xf>
    <xf numFmtId="0" fontId="2" fillId="13" borderId="1" xfId="0" applyFont="1" applyFill="1" applyBorder="1" applyAlignment="1" applyProtection="1">
      <alignment horizontal="left" vertical="top"/>
      <protection hidden="1"/>
    </xf>
    <xf numFmtId="0" fontId="2" fillId="27" borderId="64" xfId="0" applyFont="1" applyFill="1" applyBorder="1" applyAlignment="1" applyProtection="1">
      <alignment horizontal="left" vertical="top"/>
      <protection hidden="1"/>
    </xf>
    <xf numFmtId="0" fontId="18" fillId="7" borderId="1" xfId="0" applyFont="1" applyFill="1" applyBorder="1">
      <alignment vertical="center"/>
    </xf>
    <xf numFmtId="0" fontId="0" fillId="27" borderId="37" xfId="0" applyFill="1" applyBorder="1" applyAlignment="1" applyProtection="1">
      <alignment vertical="top"/>
      <protection hidden="1"/>
    </xf>
    <xf numFmtId="0" fontId="2" fillId="20" borderId="37" xfId="0" applyFont="1" applyFill="1" applyBorder="1" applyAlignment="1" applyProtection="1">
      <alignment horizontal="left" vertical="top"/>
      <protection hidden="1"/>
    </xf>
    <xf numFmtId="0" fontId="0" fillId="0" borderId="1" xfId="0" applyBorder="1" applyAlignment="1">
      <alignment horizontal="left" vertical="center"/>
    </xf>
    <xf numFmtId="0" fontId="2" fillId="23" borderId="63" xfId="1" applyFill="1" applyBorder="1" applyAlignment="1">
      <alignment horizontal="left" vertical="center"/>
    </xf>
    <xf numFmtId="0" fontId="0" fillId="17" borderId="1" xfId="0" applyFill="1" applyBorder="1" applyAlignment="1" applyProtection="1">
      <alignment horizontal="right" vertical="top"/>
      <protection hidden="1"/>
    </xf>
    <xf numFmtId="0" fontId="21" fillId="0" borderId="26" xfId="0" applyFont="1" applyBorder="1">
      <alignment vertical="center"/>
    </xf>
    <xf numFmtId="0" fontId="2" fillId="0" borderId="26" xfId="1" applyBorder="1">
      <alignment vertical="center"/>
    </xf>
    <xf numFmtId="0" fontId="2" fillId="34" borderId="64" xfId="1" applyFill="1" applyBorder="1" applyAlignment="1">
      <alignment horizontal="center" vertical="top" textRotation="90"/>
    </xf>
    <xf numFmtId="0" fontId="2" fillId="16" borderId="26" xfId="1" applyFill="1" applyBorder="1" applyAlignment="1" applyProtection="1">
      <alignment horizontal="left" vertical="top" textRotation="90"/>
      <protection hidden="1"/>
    </xf>
    <xf numFmtId="0" fontId="2" fillId="25" borderId="64" xfId="1" applyFill="1" applyBorder="1" applyAlignment="1" applyProtection="1">
      <alignment horizontal="right" vertical="top" textRotation="90"/>
      <protection hidden="1"/>
    </xf>
    <xf numFmtId="0" fontId="2" fillId="34" borderId="64" xfId="1" applyFill="1" applyBorder="1">
      <alignment vertical="center"/>
    </xf>
    <xf numFmtId="0" fontId="2" fillId="8" borderId="37" xfId="1" applyFill="1" applyBorder="1" applyAlignment="1" applyProtection="1">
      <alignment horizontal="right"/>
      <protection hidden="1"/>
    </xf>
    <xf numFmtId="0" fontId="2" fillId="13" borderId="26" xfId="1" applyFill="1" applyBorder="1" applyAlignment="1" applyProtection="1">
      <alignment vertical="top"/>
      <protection hidden="1"/>
    </xf>
    <xf numFmtId="0" fontId="2" fillId="13" borderId="26" xfId="1" applyFill="1" applyBorder="1" applyAlignment="1" applyProtection="1">
      <alignment horizontal="left" vertical="top"/>
      <protection hidden="1"/>
    </xf>
    <xf numFmtId="0" fontId="2" fillId="16" borderId="26" xfId="1" applyFill="1" applyBorder="1" applyAlignment="1" applyProtection="1">
      <alignment horizontal="right"/>
      <protection hidden="1"/>
    </xf>
    <xf numFmtId="0" fontId="2" fillId="30" borderId="26" xfId="1" applyFill="1" applyBorder="1" applyAlignment="1" applyProtection="1">
      <alignment horizontal="left" vertical="top"/>
      <protection hidden="1"/>
    </xf>
    <xf numFmtId="0" fontId="2" fillId="4" borderId="26" xfId="1" applyFill="1" applyBorder="1" applyAlignment="1" applyProtection="1">
      <alignment horizontal="right"/>
      <protection hidden="1"/>
    </xf>
    <xf numFmtId="0" fontId="2" fillId="31" borderId="26" xfId="1" applyFill="1" applyBorder="1" applyAlignment="1" applyProtection="1">
      <alignment horizontal="left" vertical="top"/>
      <protection hidden="1"/>
    </xf>
    <xf numFmtId="0" fontId="2" fillId="31" borderId="26" xfId="1" applyFill="1" applyBorder="1" applyAlignment="1" applyProtection="1">
      <alignment horizontal="right"/>
      <protection hidden="1"/>
    </xf>
    <xf numFmtId="0" fontId="2" fillId="2" borderId="64" xfId="1" applyFill="1" applyBorder="1" applyAlignment="1">
      <alignment horizontal="right"/>
    </xf>
    <xf numFmtId="0" fontId="2" fillId="2" borderId="65" xfId="1" applyFill="1" applyBorder="1" applyAlignment="1">
      <alignment horizontal="right"/>
    </xf>
    <xf numFmtId="0" fontId="2" fillId="2" borderId="64" xfId="1" applyFill="1" applyBorder="1" applyAlignment="1">
      <alignment horizontal="right" vertical="center"/>
    </xf>
    <xf numFmtId="0" fontId="2" fillId="23" borderId="66" xfId="1" applyFill="1" applyBorder="1" applyAlignment="1" applyProtection="1">
      <alignment horizontal="left" textRotation="90"/>
      <protection hidden="1"/>
    </xf>
    <xf numFmtId="0" fontId="2" fillId="23" borderId="64" xfId="1" applyFill="1" applyBorder="1" applyAlignment="1" applyProtection="1">
      <alignment horizontal="left" textRotation="90"/>
      <protection hidden="1"/>
    </xf>
    <xf numFmtId="0" fontId="2" fillId="31" borderId="26" xfId="0" applyFont="1" applyFill="1" applyBorder="1" applyAlignment="1" applyProtection="1">
      <alignment horizontal="left" vertical="top"/>
      <protection hidden="1"/>
    </xf>
    <xf numFmtId="0" fontId="2" fillId="30" borderId="26" xfId="0" applyFont="1" applyFill="1" applyBorder="1" applyAlignment="1" applyProtection="1">
      <alignment horizontal="left" vertical="top"/>
      <protection hidden="1"/>
    </xf>
    <xf numFmtId="0" fontId="2" fillId="13" borderId="35" xfId="0" applyFont="1" applyFill="1" applyBorder="1" applyAlignment="1" applyProtection="1">
      <alignment horizontal="left" vertical="top"/>
      <protection hidden="1"/>
    </xf>
    <xf numFmtId="0" fontId="0" fillId="0" borderId="63" xfId="0" applyBorder="1">
      <alignment vertical="center"/>
    </xf>
    <xf numFmtId="0" fontId="0" fillId="0" borderId="76" xfId="0" applyBorder="1">
      <alignment vertical="center"/>
    </xf>
    <xf numFmtId="0" fontId="5" fillId="0" borderId="26" xfId="0" applyFont="1" applyBorder="1">
      <alignment vertical="center"/>
    </xf>
    <xf numFmtId="0" fontId="20" fillId="0" borderId="26" xfId="0" applyFont="1" applyBorder="1">
      <alignment vertical="center"/>
    </xf>
    <xf numFmtId="0" fontId="4" fillId="0" borderId="26" xfId="0" applyFont="1" applyBorder="1">
      <alignment vertical="center"/>
    </xf>
    <xf numFmtId="0" fontId="22" fillId="0" borderId="26" xfId="0" applyFont="1" applyBorder="1">
      <alignment vertical="center"/>
    </xf>
    <xf numFmtId="0" fontId="2" fillId="21" borderId="26" xfId="0" applyFont="1" applyFill="1" applyBorder="1" applyAlignment="1" applyProtection="1">
      <alignment horizontal="left" vertical="top"/>
      <protection hidden="1"/>
    </xf>
    <xf numFmtId="0" fontId="2" fillId="34" borderId="26" xfId="1" applyFill="1" applyBorder="1" applyAlignment="1">
      <alignment horizontal="left" vertical="top" textRotation="90"/>
    </xf>
    <xf numFmtId="0" fontId="2" fillId="34" borderId="26" xfId="0" applyFont="1" applyFill="1" applyBorder="1" applyAlignment="1" applyProtection="1">
      <alignment horizontal="left" vertical="top"/>
      <protection hidden="1"/>
    </xf>
    <xf numFmtId="0" fontId="4" fillId="34" borderId="26" xfId="0" applyFont="1" applyFill="1" applyBorder="1">
      <alignment vertical="center"/>
    </xf>
    <xf numFmtId="0" fontId="4" fillId="25" borderId="64" xfId="1" applyFont="1" applyFill="1" applyBorder="1" applyAlignment="1">
      <alignment horizontal="right" vertical="center"/>
    </xf>
    <xf numFmtId="0" fontId="2" fillId="12" borderId="64" xfId="0" applyFont="1" applyFill="1" applyBorder="1" applyAlignment="1" applyProtection="1">
      <alignment horizontal="left" vertical="center"/>
      <protection hidden="1"/>
    </xf>
    <xf numFmtId="0" fontId="2" fillId="16" borderId="64" xfId="0" applyFont="1" applyFill="1" applyBorder="1" applyAlignment="1" applyProtection="1">
      <alignment horizontal="center" vertical="center"/>
      <protection hidden="1"/>
    </xf>
    <xf numFmtId="0" fontId="2" fillId="16" borderId="74" xfId="0" applyFont="1" applyFill="1" applyBorder="1" applyAlignment="1" applyProtection="1">
      <alignment horizontal="center" vertical="center"/>
      <protection hidden="1"/>
    </xf>
    <xf numFmtId="0" fontId="2" fillId="16" borderId="73" xfId="0" applyFont="1" applyFill="1" applyBorder="1" applyAlignment="1" applyProtection="1">
      <alignment horizontal="center" vertical="center"/>
      <protection hidden="1"/>
    </xf>
    <xf numFmtId="0" fontId="2" fillId="4" borderId="26" xfId="0" applyFont="1" applyFill="1" applyBorder="1" applyAlignment="1" applyProtection="1">
      <alignment horizontal="right"/>
      <protection hidden="1"/>
    </xf>
    <xf numFmtId="0" fontId="2" fillId="9" borderId="0" xfId="1" applyFill="1">
      <alignment vertical="center"/>
    </xf>
    <xf numFmtId="0" fontId="4" fillId="4" borderId="37" xfId="0" applyFont="1" applyFill="1" applyBorder="1">
      <alignment vertical="center"/>
    </xf>
    <xf numFmtId="0" fontId="4" fillId="7" borderId="26" xfId="0" applyFont="1" applyFill="1" applyBorder="1">
      <alignment vertical="center"/>
    </xf>
    <xf numFmtId="0" fontId="4" fillId="4" borderId="26" xfId="0" applyFont="1" applyFill="1" applyBorder="1">
      <alignment vertical="center"/>
    </xf>
    <xf numFmtId="0" fontId="2" fillId="37" borderId="0" xfId="0" applyFont="1" applyFill="1">
      <alignment vertical="center"/>
    </xf>
    <xf numFmtId="0" fontId="0" fillId="0" borderId="62" xfId="0" applyBorder="1" applyAlignment="1"/>
    <xf numFmtId="0" fontId="8" fillId="32" borderId="56" xfId="0" applyFont="1" applyFill="1" applyBorder="1" applyAlignment="1">
      <alignment vertical="center" wrapText="1"/>
    </xf>
    <xf numFmtId="0" fontId="9" fillId="32" borderId="57" xfId="0" applyFont="1" applyFill="1" applyBorder="1" applyAlignment="1">
      <alignment vertical="center" wrapText="1"/>
    </xf>
    <xf numFmtId="0" fontId="10" fillId="32" borderId="58" xfId="0" applyFont="1" applyFill="1" applyBorder="1" applyAlignment="1">
      <alignment vertical="center" wrapText="1"/>
    </xf>
    <xf numFmtId="0" fontId="10" fillId="32" borderId="59" xfId="0" applyFont="1" applyFill="1" applyBorder="1" applyAlignment="1">
      <alignment vertical="center" wrapText="1"/>
    </xf>
    <xf numFmtId="0" fontId="15" fillId="32" borderId="56" xfId="0" applyFont="1" applyFill="1" applyBorder="1" applyAlignment="1">
      <alignment vertical="center" wrapText="1"/>
    </xf>
    <xf numFmtId="0" fontId="11" fillId="32" borderId="61" xfId="0" applyFont="1" applyFill="1" applyBorder="1" applyAlignment="1">
      <alignment vertical="center" wrapText="1"/>
    </xf>
    <xf numFmtId="0" fontId="11" fillId="32" borderId="57" xfId="0" applyFont="1" applyFill="1" applyBorder="1" applyAlignment="1">
      <alignment vertical="center" wrapText="1"/>
    </xf>
    <xf numFmtId="0" fontId="0" fillId="15" borderId="38" xfId="0" applyFill="1" applyBorder="1" applyAlignment="1" applyProtection="1">
      <alignment horizontal="left" vertical="center"/>
      <protection hidden="1"/>
    </xf>
    <xf numFmtId="0" fontId="0" fillId="15" borderId="14" xfId="0" applyFill="1" applyBorder="1" applyAlignment="1" applyProtection="1">
      <alignment horizontal="left" vertical="center"/>
      <protection hidden="1"/>
    </xf>
    <xf numFmtId="0" fontId="0" fillId="14" borderId="38" xfId="0" applyFill="1" applyBorder="1" applyAlignment="1" applyProtection="1">
      <alignment horizontal="left" vertical="center"/>
      <protection hidden="1"/>
    </xf>
    <xf numFmtId="0" fontId="0" fillId="14" borderId="14" xfId="0" applyFill="1" applyBorder="1" applyAlignment="1" applyProtection="1">
      <alignment horizontal="left" vertical="center"/>
      <protection hidden="1"/>
    </xf>
    <xf numFmtId="0" fontId="0" fillId="15" borderId="33" xfId="0" applyFill="1" applyBorder="1" applyAlignment="1" applyProtection="1">
      <alignment horizontal="left" vertical="center"/>
      <protection hidden="1"/>
    </xf>
    <xf numFmtId="0" fontId="0" fillId="15" borderId="52" xfId="0" applyFill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center" vertical="top"/>
      <protection hidden="1"/>
    </xf>
    <xf numFmtId="0" fontId="7" fillId="11" borderId="8" xfId="0" applyFont="1" applyFill="1" applyBorder="1" applyAlignment="1" applyProtection="1">
      <alignment horizontal="center" vertical="top"/>
      <protection hidden="1"/>
    </xf>
    <xf numFmtId="0" fontId="7" fillId="11" borderId="8" xfId="0" applyFont="1" applyFill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49" xfId="0" applyFont="1" applyBorder="1" applyAlignment="1" applyProtection="1">
      <alignment horizontal="center"/>
      <protection hidden="1"/>
    </xf>
    <xf numFmtId="0" fontId="0" fillId="15" borderId="43" xfId="0" applyFill="1" applyBorder="1" applyAlignment="1" applyProtection="1">
      <alignment horizontal="left" vertical="center"/>
      <protection hidden="1"/>
    </xf>
    <xf numFmtId="0" fontId="0" fillId="15" borderId="51" xfId="0" applyFill="1" applyBorder="1" applyAlignment="1" applyProtection="1">
      <alignment horizontal="left" vertical="center"/>
      <protection hidden="1"/>
    </xf>
    <xf numFmtId="0" fontId="0" fillId="11" borderId="3" xfId="0" applyFill="1" applyBorder="1" applyAlignment="1" applyProtection="1">
      <alignment horizontal="left" vertical="top"/>
      <protection hidden="1"/>
    </xf>
    <xf numFmtId="0" fontId="7" fillId="11" borderId="0" xfId="0" applyFont="1" applyFill="1" applyAlignment="1" applyProtection="1">
      <alignment horizontal="center"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6" fillId="0" borderId="41" xfId="0" applyFont="1" applyBorder="1" applyAlignment="1" applyProtection="1">
      <alignment horizontal="center"/>
      <protection hidden="1"/>
    </xf>
    <xf numFmtId="0" fontId="0" fillId="13" borderId="43" xfId="0" applyFill="1" applyBorder="1" applyAlignment="1" applyProtection="1">
      <alignment horizontal="left"/>
      <protection hidden="1"/>
    </xf>
    <xf numFmtId="0" fontId="0" fillId="13" borderId="39" xfId="0" applyFill="1" applyBorder="1" applyAlignment="1" applyProtection="1">
      <alignment horizontal="left"/>
      <protection hidden="1"/>
    </xf>
    <xf numFmtId="0" fontId="0" fillId="13" borderId="33" xfId="0" applyFill="1" applyBorder="1" applyAlignment="1" applyProtection="1">
      <alignment horizontal="left"/>
      <protection hidden="1"/>
    </xf>
    <xf numFmtId="0" fontId="0" fillId="13" borderId="28" xfId="0" applyFill="1" applyBorder="1" applyAlignment="1" applyProtection="1">
      <alignment horizontal="left"/>
      <protection hidden="1"/>
    </xf>
    <xf numFmtId="0" fontId="7" fillId="11" borderId="0" xfId="0" applyFont="1" applyFill="1" applyAlignment="1" applyProtection="1">
      <alignment horizontal="center"/>
      <protection hidden="1"/>
    </xf>
    <xf numFmtId="0" fontId="0" fillId="0" borderId="8" xfId="0" applyBorder="1" applyAlignment="1"/>
    <xf numFmtId="0" fontId="0" fillId="13" borderId="38" xfId="0" applyFill="1" applyBorder="1" applyAlignment="1" applyProtection="1">
      <alignment horizontal="left"/>
      <protection hidden="1"/>
    </xf>
    <xf numFmtId="0" fontId="0" fillId="13" borderId="25" xfId="0" applyFill="1" applyBorder="1" applyAlignment="1" applyProtection="1">
      <alignment horizontal="left"/>
      <protection hidden="1"/>
    </xf>
    <xf numFmtId="0" fontId="0" fillId="3" borderId="33" xfId="0" applyFill="1" applyBorder="1" applyAlignment="1" applyProtection="1">
      <alignment horizontal="left"/>
      <protection hidden="1"/>
    </xf>
    <xf numFmtId="0" fontId="0" fillId="3" borderId="28" xfId="0" applyFill="1" applyBorder="1" applyAlignment="1" applyProtection="1">
      <alignment horizontal="left"/>
      <protection hidden="1"/>
    </xf>
    <xf numFmtId="0" fontId="2" fillId="37" borderId="77" xfId="0" applyFont="1" applyFill="1" applyBorder="1" applyAlignment="1">
      <alignment horizontal="center" vertical="center" wrapText="1"/>
    </xf>
    <xf numFmtId="0" fontId="0" fillId="37" borderId="77" xfId="0" applyFill="1" applyBorder="1" applyAlignment="1">
      <alignment horizontal="center" vertical="center"/>
    </xf>
    <xf numFmtId="0" fontId="2" fillId="37" borderId="79" xfId="0" applyFont="1" applyFill="1" applyBorder="1" applyAlignment="1">
      <alignment horizontal="center" vertical="center" wrapText="1"/>
    </xf>
    <xf numFmtId="0" fontId="0" fillId="37" borderId="79" xfId="0" applyFill="1" applyBorder="1" applyAlignment="1">
      <alignment horizontal="center" vertical="center"/>
    </xf>
    <xf numFmtId="0" fontId="2" fillId="37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 vertical="center"/>
    </xf>
    <xf numFmtId="0" fontId="2" fillId="37" borderId="78" xfId="0" applyFont="1" applyFill="1" applyBorder="1" applyAlignment="1">
      <alignment horizontal="center" vertical="center" wrapText="1"/>
    </xf>
    <xf numFmtId="0" fontId="0" fillId="37" borderId="8" xfId="0" applyFill="1" applyBorder="1" applyAlignment="1">
      <alignment horizontal="center" vertical="center"/>
    </xf>
    <xf numFmtId="0" fontId="2" fillId="37" borderId="31" xfId="0" applyFont="1" applyFill="1" applyBorder="1" applyAlignment="1">
      <alignment horizontal="center" vertical="center" wrapText="1"/>
    </xf>
    <xf numFmtId="0" fontId="2" fillId="37" borderId="78" xfId="0" applyFont="1" applyFill="1" applyBorder="1" applyAlignment="1">
      <alignment horizontal="center" wrapText="1"/>
    </xf>
    <xf numFmtId="0" fontId="0" fillId="37" borderId="79" xfId="0" applyFill="1" applyBorder="1" applyAlignment="1">
      <alignment horizontal="center"/>
    </xf>
    <xf numFmtId="0" fontId="0" fillId="24" borderId="0" xfId="0" applyFill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2" fillId="33" borderId="0" xfId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</cellXfs>
  <cellStyles count="2">
    <cellStyle name="常规" xfId="0" builtinId="0"/>
    <cellStyle name="常规 2" xfId="1" xr:uid="{105E9F88-4D8E-4708-A5C3-55D40C137D08}"/>
  </cellStyles>
  <dxfs count="2"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66FF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I MA" id="{9C725D62-F71D-4D8F-803D-DA4FDBDE6B2D}" userId="7a69278c2004b68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11-13T04:06:00.13" personId="{9C725D62-F71D-4D8F-803D-DA4FDBDE6B2D}" id="{FDA8E786-59CF-4279-90F0-1C71C2ACD6E0}">
    <text>每种信号的引脚要分类放到一起；MII0的信号要放到MII0附近，PDI信号应该和PDI信号引脚附近；（这个信号没用不能引出）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D596-FAD2-4CA5-A86E-2C9326E88E26}">
  <dimension ref="A3:ET50"/>
  <sheetViews>
    <sheetView zoomScale="55" zoomScaleNormal="55" workbookViewId="0">
      <selection activeCell="M44" sqref="M44"/>
    </sheetView>
  </sheetViews>
  <sheetFormatPr defaultColWidth="9" defaultRowHeight="14"/>
  <cols>
    <col min="1" max="3" width="9" style="1" customWidth="1"/>
    <col min="4" max="4" width="3.90625" style="3" customWidth="1"/>
    <col min="5" max="5" width="23.1796875" style="6" customWidth="1"/>
    <col min="6" max="6" width="3.90625" style="3" customWidth="1"/>
    <col min="7" max="7" width="36.90625" style="1" customWidth="1"/>
    <col min="8" max="37" width="4.08984375" style="1" customWidth="1"/>
    <col min="38" max="38" width="29.453125" style="1" customWidth="1"/>
    <col min="39" max="39" width="4.08984375" style="1" customWidth="1"/>
    <col min="40" max="40" width="25.453125" style="1" customWidth="1"/>
    <col min="41" max="41" width="4.453125" style="3" customWidth="1"/>
    <col min="42" max="16384" width="9" style="1"/>
  </cols>
  <sheetData>
    <row r="3" spans="4:44">
      <c r="G3" s="3"/>
    </row>
    <row r="4" spans="4:44">
      <c r="T4" s="1">
        <v>8</v>
      </c>
    </row>
    <row r="5" spans="4:44">
      <c r="J5" s="49"/>
      <c r="K5" s="49"/>
      <c r="R5" s="55">
        <v>48</v>
      </c>
      <c r="S5" s="55">
        <v>47</v>
      </c>
      <c r="AD5" s="55">
        <v>46</v>
      </c>
      <c r="AE5" s="55">
        <v>45</v>
      </c>
      <c r="AF5" s="55">
        <v>44</v>
      </c>
      <c r="AI5" s="55">
        <v>43</v>
      </c>
      <c r="AJ5" s="55">
        <v>42</v>
      </c>
      <c r="AK5" s="55">
        <v>41</v>
      </c>
    </row>
    <row r="6" spans="4:44">
      <c r="J6" s="49">
        <v>32</v>
      </c>
      <c r="K6" s="49">
        <v>21</v>
      </c>
      <c r="R6" s="49">
        <v>30</v>
      </c>
      <c r="S6" s="49">
        <v>29</v>
      </c>
    </row>
    <row r="7" spans="4:44" s="3" customFormat="1" ht="16.5" customHeight="1">
      <c r="E7" s="6"/>
      <c r="M7" s="3">
        <v>36</v>
      </c>
      <c r="P7" s="3">
        <v>35</v>
      </c>
      <c r="Q7" s="3">
        <v>34</v>
      </c>
      <c r="T7" s="3">
        <v>33</v>
      </c>
      <c r="W7" s="3">
        <v>32</v>
      </c>
      <c r="Y7" s="3">
        <v>31</v>
      </c>
      <c r="AB7" s="3">
        <v>30</v>
      </c>
      <c r="AD7" s="3">
        <v>29</v>
      </c>
      <c r="AF7" s="3">
        <v>28</v>
      </c>
      <c r="AI7" s="3">
        <v>27</v>
      </c>
    </row>
    <row r="8" spans="4:44" s="11" customFormat="1" ht="140.15" customHeight="1">
      <c r="E8" s="6"/>
      <c r="M8" s="12" t="s">
        <v>15</v>
      </c>
      <c r="P8" s="12" t="s">
        <v>13</v>
      </c>
      <c r="Q8" s="12" t="s">
        <v>11</v>
      </c>
      <c r="T8" s="12" t="s">
        <v>134</v>
      </c>
      <c r="W8" s="12" t="s">
        <v>8</v>
      </c>
      <c r="Y8" s="12" t="s">
        <v>133</v>
      </c>
      <c r="AB8" s="12" t="s">
        <v>7</v>
      </c>
      <c r="AD8" s="12" t="s">
        <v>5</v>
      </c>
      <c r="AF8" s="12" t="s">
        <v>4</v>
      </c>
      <c r="AI8" s="12" t="s">
        <v>2</v>
      </c>
    </row>
    <row r="9" spans="4:44" s="3" customFormat="1" ht="18.649999999999999" customHeight="1" thickBot="1">
      <c r="E9" s="6"/>
      <c r="H9" s="3">
        <v>122</v>
      </c>
      <c r="I9" s="3">
        <v>121</v>
      </c>
      <c r="J9" s="3">
        <v>120</v>
      </c>
      <c r="K9" s="3">
        <v>119</v>
      </c>
      <c r="L9" s="3">
        <v>118</v>
      </c>
      <c r="M9" s="3">
        <v>117</v>
      </c>
      <c r="N9" s="3">
        <v>116</v>
      </c>
      <c r="O9" s="3">
        <v>115</v>
      </c>
      <c r="P9" s="3">
        <v>114</v>
      </c>
      <c r="Q9" s="3">
        <v>113</v>
      </c>
      <c r="R9" s="3">
        <v>112</v>
      </c>
      <c r="S9" s="3">
        <v>111</v>
      </c>
      <c r="T9" s="3">
        <v>110</v>
      </c>
      <c r="U9" s="3">
        <v>109</v>
      </c>
      <c r="V9" s="3">
        <v>108</v>
      </c>
      <c r="W9" s="3">
        <v>107</v>
      </c>
      <c r="X9" s="3">
        <v>106</v>
      </c>
      <c r="Y9" s="3">
        <v>105</v>
      </c>
      <c r="Z9" s="3">
        <v>104</v>
      </c>
      <c r="AA9" s="3">
        <v>103</v>
      </c>
      <c r="AB9" s="3">
        <v>102</v>
      </c>
      <c r="AC9" s="3">
        <v>101</v>
      </c>
      <c r="AD9" s="3">
        <v>100</v>
      </c>
      <c r="AE9" s="3">
        <v>99</v>
      </c>
      <c r="AF9" s="3">
        <v>98</v>
      </c>
      <c r="AG9" s="3">
        <v>97</v>
      </c>
      <c r="AH9" s="3">
        <v>96</v>
      </c>
      <c r="AI9" s="3">
        <v>95</v>
      </c>
      <c r="AJ9" s="3">
        <v>94</v>
      </c>
      <c r="AK9" s="3">
        <v>93</v>
      </c>
    </row>
    <row r="10" spans="4:44" ht="169" thickBot="1">
      <c r="G10" s="15"/>
      <c r="H10" s="23" t="s">
        <v>39</v>
      </c>
      <c r="I10" s="23" t="s">
        <v>38</v>
      </c>
      <c r="J10" s="24" t="s">
        <v>113</v>
      </c>
      <c r="K10" s="24" t="s">
        <v>112</v>
      </c>
      <c r="L10" s="25" t="s">
        <v>135</v>
      </c>
      <c r="M10" s="26" t="s">
        <v>108</v>
      </c>
      <c r="N10" s="27" t="s">
        <v>62</v>
      </c>
      <c r="O10" s="27" t="s">
        <v>60</v>
      </c>
      <c r="P10" s="26" t="s">
        <v>107</v>
      </c>
      <c r="Q10" s="26" t="s">
        <v>106</v>
      </c>
      <c r="R10" s="24" t="s">
        <v>125</v>
      </c>
      <c r="S10" s="24" t="s">
        <v>124</v>
      </c>
      <c r="T10" s="26" t="s">
        <v>105</v>
      </c>
      <c r="U10" s="26" t="s">
        <v>104</v>
      </c>
      <c r="V10" s="26" t="s">
        <v>103</v>
      </c>
      <c r="W10" s="26" t="s">
        <v>102</v>
      </c>
      <c r="X10" s="26" t="s">
        <v>100</v>
      </c>
      <c r="Y10" s="26" t="s">
        <v>101</v>
      </c>
      <c r="Z10" s="24" t="s">
        <v>123</v>
      </c>
      <c r="AA10" s="24" t="s">
        <v>122</v>
      </c>
      <c r="AB10" s="26" t="s">
        <v>97</v>
      </c>
      <c r="AC10" s="26" t="s">
        <v>99</v>
      </c>
      <c r="AD10" s="26" t="s">
        <v>95</v>
      </c>
      <c r="AE10" s="26" t="s">
        <v>98</v>
      </c>
      <c r="AF10" s="26" t="s">
        <v>93</v>
      </c>
      <c r="AG10" s="24" t="s">
        <v>113</v>
      </c>
      <c r="AH10" s="28" t="s">
        <v>112</v>
      </c>
      <c r="AI10" s="26" t="s">
        <v>96</v>
      </c>
      <c r="AJ10" s="26" t="s">
        <v>92</v>
      </c>
      <c r="AK10" s="26" t="s">
        <v>94</v>
      </c>
      <c r="AL10" s="17"/>
    </row>
    <row r="11" spans="4:44" ht="18.899999999999999" customHeight="1">
      <c r="D11" s="3">
        <v>37</v>
      </c>
      <c r="E11" s="6" t="s">
        <v>17</v>
      </c>
      <c r="F11" s="3">
        <v>1</v>
      </c>
      <c r="G11" s="31" t="s">
        <v>42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AL11" s="29" t="s">
        <v>17</v>
      </c>
      <c r="AM11" s="3">
        <v>92</v>
      </c>
      <c r="AO11" s="1"/>
    </row>
    <row r="12" spans="4:44" ht="18.899999999999999" customHeight="1">
      <c r="D12" s="3">
        <v>38</v>
      </c>
      <c r="E12" s="6" t="s">
        <v>19</v>
      </c>
      <c r="F12" s="3">
        <v>2</v>
      </c>
      <c r="G12" s="45" t="s">
        <v>109</v>
      </c>
      <c r="H12" s="18"/>
      <c r="AK12" s="19"/>
      <c r="AL12" s="30" t="s">
        <v>91</v>
      </c>
      <c r="AM12" s="3">
        <v>91</v>
      </c>
      <c r="AO12" s="1"/>
      <c r="AP12" s="47">
        <v>28</v>
      </c>
      <c r="AR12" s="50"/>
    </row>
    <row r="13" spans="4:44" ht="18.899999999999999" customHeight="1">
      <c r="D13" s="3">
        <v>39</v>
      </c>
      <c r="E13" s="6" t="s">
        <v>21</v>
      </c>
      <c r="F13" s="3">
        <v>3</v>
      </c>
      <c r="G13" s="31" t="s">
        <v>138</v>
      </c>
      <c r="H13" s="18"/>
      <c r="AK13" s="19"/>
      <c r="AL13" s="29" t="s">
        <v>21</v>
      </c>
      <c r="AM13" s="3">
        <v>90</v>
      </c>
      <c r="AO13" s="1"/>
      <c r="AR13" s="50"/>
    </row>
    <row r="14" spans="4:44" ht="18.899999999999999" customHeight="1">
      <c r="D14" s="3">
        <v>40</v>
      </c>
      <c r="E14" s="6" t="s">
        <v>23</v>
      </c>
      <c r="F14" s="3">
        <v>4</v>
      </c>
      <c r="G14" s="31" t="s">
        <v>44</v>
      </c>
      <c r="H14" s="18"/>
      <c r="AK14" s="19"/>
      <c r="AL14" s="30" t="s">
        <v>89</v>
      </c>
      <c r="AM14" s="3">
        <v>89</v>
      </c>
      <c r="AN14" s="6" t="s">
        <v>132</v>
      </c>
      <c r="AO14" s="3">
        <v>26</v>
      </c>
      <c r="AP14" s="47">
        <v>27</v>
      </c>
      <c r="AQ14" s="48">
        <v>40</v>
      </c>
      <c r="AR14" s="50"/>
    </row>
    <row r="15" spans="4:44" ht="18.899999999999999" customHeight="1">
      <c r="D15" s="3">
        <v>41</v>
      </c>
      <c r="E15" s="6" t="s">
        <v>137</v>
      </c>
      <c r="F15" s="3">
        <v>5</v>
      </c>
      <c r="G15" s="32" t="s">
        <v>113</v>
      </c>
      <c r="H15" s="18"/>
      <c r="AK15" s="19"/>
      <c r="AL15" s="33" t="s">
        <v>112</v>
      </c>
      <c r="AM15" s="3">
        <v>88</v>
      </c>
      <c r="AN15" s="3"/>
      <c r="AR15" s="50"/>
    </row>
    <row r="16" spans="4:44" ht="18.899999999999999" customHeight="1">
      <c r="D16" s="3">
        <v>42</v>
      </c>
      <c r="E16" s="6" t="s">
        <v>26</v>
      </c>
      <c r="F16" s="3">
        <v>6</v>
      </c>
      <c r="G16" s="32" t="s">
        <v>112</v>
      </c>
      <c r="H16" s="18"/>
      <c r="AK16" s="19"/>
      <c r="AL16" s="33" t="s">
        <v>113</v>
      </c>
      <c r="AM16" s="3">
        <v>87</v>
      </c>
      <c r="AN16" s="3"/>
      <c r="AR16" s="50"/>
    </row>
    <row r="17" spans="1:45" ht="18.899999999999999" customHeight="1">
      <c r="F17" s="3">
        <v>7</v>
      </c>
      <c r="G17" s="34" t="s">
        <v>111</v>
      </c>
      <c r="H17" s="18"/>
      <c r="AK17" s="19"/>
      <c r="AL17" s="33" t="s">
        <v>112</v>
      </c>
      <c r="AM17" s="3">
        <v>86</v>
      </c>
      <c r="AN17" s="3"/>
      <c r="AQ17" s="49">
        <v>39</v>
      </c>
      <c r="AR17" s="50"/>
    </row>
    <row r="18" spans="1:45" ht="18.899999999999999" customHeight="1">
      <c r="B18" s="48">
        <v>49</v>
      </c>
      <c r="F18" s="3">
        <v>8</v>
      </c>
      <c r="G18" s="45" t="s">
        <v>110</v>
      </c>
      <c r="AK18" s="19"/>
      <c r="AL18" s="33" t="s">
        <v>121</v>
      </c>
      <c r="AM18" s="3">
        <v>85</v>
      </c>
      <c r="AN18" s="7" t="s">
        <v>131</v>
      </c>
      <c r="AO18" s="3">
        <v>24</v>
      </c>
      <c r="AP18" s="47">
        <v>26</v>
      </c>
      <c r="AQ18" s="49">
        <v>38</v>
      </c>
      <c r="AR18" s="50"/>
    </row>
    <row r="19" spans="1:45" ht="18.899999999999999" customHeight="1">
      <c r="F19" s="3">
        <v>9</v>
      </c>
      <c r="G19" s="31" t="s">
        <v>48</v>
      </c>
      <c r="H19" s="18"/>
      <c r="AK19" s="19"/>
      <c r="AL19" s="33" t="s">
        <v>120</v>
      </c>
      <c r="AM19" s="3">
        <v>84</v>
      </c>
      <c r="AN19" s="7" t="s">
        <v>36</v>
      </c>
      <c r="AO19" s="3">
        <v>23</v>
      </c>
      <c r="AP19" s="47">
        <v>25</v>
      </c>
      <c r="AQ19" s="49">
        <v>37</v>
      </c>
      <c r="AR19" s="50"/>
    </row>
    <row r="20" spans="1:45" ht="18.899999999999999" customHeight="1">
      <c r="B20" s="48">
        <v>50</v>
      </c>
      <c r="F20" s="3">
        <v>10</v>
      </c>
      <c r="G20" s="31" t="s">
        <v>46</v>
      </c>
      <c r="AK20" s="19"/>
      <c r="AL20" s="29" t="s">
        <v>33</v>
      </c>
      <c r="AM20" s="3">
        <v>83</v>
      </c>
      <c r="AN20" s="6" t="s">
        <v>130</v>
      </c>
      <c r="AO20" s="3">
        <v>21</v>
      </c>
      <c r="AP20" s="47">
        <v>24</v>
      </c>
      <c r="AQ20" s="48">
        <v>36</v>
      </c>
      <c r="AR20" s="50"/>
    </row>
    <row r="21" spans="1:45" ht="18.899999999999999" customHeight="1">
      <c r="F21" s="3">
        <v>11</v>
      </c>
      <c r="G21" s="31" t="s">
        <v>50</v>
      </c>
      <c r="H21" s="18"/>
      <c r="AK21" s="19"/>
      <c r="AL21" s="29" t="s">
        <v>23</v>
      </c>
      <c r="AM21" s="3">
        <v>82</v>
      </c>
      <c r="AN21" s="3"/>
      <c r="AP21" s="47">
        <v>23</v>
      </c>
      <c r="AR21" s="50"/>
    </row>
    <row r="22" spans="1:45" ht="18.899999999999999" customHeight="1">
      <c r="B22" s="48">
        <v>51</v>
      </c>
      <c r="D22" s="3">
        <v>43</v>
      </c>
      <c r="E22" s="13" t="s">
        <v>28</v>
      </c>
      <c r="F22" s="3">
        <v>12</v>
      </c>
      <c r="G22" s="35" t="s">
        <v>40</v>
      </c>
      <c r="H22" s="18"/>
      <c r="AK22" s="19"/>
      <c r="AL22" s="29" t="s">
        <v>28</v>
      </c>
      <c r="AM22" s="3">
        <v>81</v>
      </c>
      <c r="AN22" s="3"/>
      <c r="AP22" s="47">
        <v>22</v>
      </c>
      <c r="AR22" s="50"/>
    </row>
    <row r="23" spans="1:45" ht="18.899999999999999" customHeight="1">
      <c r="B23" s="48">
        <v>52</v>
      </c>
      <c r="D23" s="3">
        <v>44</v>
      </c>
      <c r="E23" s="13" t="s">
        <v>30</v>
      </c>
      <c r="F23" s="3">
        <v>13</v>
      </c>
      <c r="G23" s="35" t="s">
        <v>41</v>
      </c>
      <c r="H23" s="18"/>
      <c r="AK23" s="19"/>
      <c r="AL23" s="29" t="s">
        <v>30</v>
      </c>
      <c r="AM23" s="3">
        <v>80</v>
      </c>
      <c r="AN23" s="3"/>
      <c r="AP23" s="47">
        <v>21</v>
      </c>
    </row>
    <row r="24" spans="1:45" ht="18.899999999999999" customHeight="1">
      <c r="F24" s="3">
        <v>14</v>
      </c>
      <c r="G24" s="34" t="s">
        <v>129</v>
      </c>
      <c r="H24" s="18"/>
      <c r="AK24" s="19"/>
      <c r="AL24" s="29" t="s">
        <v>32</v>
      </c>
      <c r="AM24" s="3">
        <v>79</v>
      </c>
      <c r="AN24" s="3"/>
      <c r="AP24" s="47">
        <v>20</v>
      </c>
    </row>
    <row r="25" spans="1:45" ht="18.899999999999999" customHeight="1">
      <c r="B25" s="48">
        <v>53</v>
      </c>
      <c r="F25" s="3">
        <v>15</v>
      </c>
      <c r="G25" s="32" t="s">
        <v>114</v>
      </c>
      <c r="H25" s="18"/>
      <c r="AK25" s="19"/>
      <c r="AL25" s="29" t="s">
        <v>34</v>
      </c>
      <c r="AM25" s="3">
        <v>78</v>
      </c>
      <c r="AN25" s="3"/>
      <c r="AP25" s="47">
        <v>19</v>
      </c>
    </row>
    <row r="26" spans="1:45" ht="18.899999999999999" customHeight="1">
      <c r="A26" s="1">
        <v>16</v>
      </c>
      <c r="B26" s="48">
        <v>54</v>
      </c>
      <c r="F26" s="3">
        <v>16</v>
      </c>
      <c r="G26" s="32" t="s">
        <v>115</v>
      </c>
      <c r="H26" s="18"/>
      <c r="AK26" s="19"/>
      <c r="AL26" s="36" t="s">
        <v>135</v>
      </c>
      <c r="AM26" s="3">
        <v>77</v>
      </c>
    </row>
    <row r="27" spans="1:45" ht="18.899999999999999" customHeight="1">
      <c r="B27" s="48">
        <v>55</v>
      </c>
      <c r="F27" s="3">
        <v>17</v>
      </c>
      <c r="G27" s="31" t="s">
        <v>53</v>
      </c>
      <c r="H27" s="18"/>
      <c r="AK27" s="19"/>
      <c r="AL27" s="33" t="s">
        <v>119</v>
      </c>
      <c r="AM27" s="3">
        <v>76</v>
      </c>
      <c r="AN27" s="3"/>
    </row>
    <row r="28" spans="1:45" ht="18.899999999999999" customHeight="1">
      <c r="F28" s="3">
        <v>18</v>
      </c>
      <c r="G28" s="31" t="s">
        <v>56</v>
      </c>
      <c r="H28" s="18"/>
      <c r="AK28" s="19"/>
      <c r="AL28" s="37" t="s">
        <v>118</v>
      </c>
      <c r="AM28" s="3">
        <v>75</v>
      </c>
      <c r="AS28" s="1">
        <v>16</v>
      </c>
    </row>
    <row r="29" spans="1:45" ht="18.899999999999999" customHeight="1">
      <c r="F29" s="3">
        <v>19</v>
      </c>
      <c r="G29" s="31" t="s">
        <v>57</v>
      </c>
      <c r="H29" s="18"/>
      <c r="AK29" s="19"/>
      <c r="AL29" s="29" t="s">
        <v>31</v>
      </c>
      <c r="AM29" s="3">
        <v>74</v>
      </c>
      <c r="AN29" s="6" t="s">
        <v>31</v>
      </c>
      <c r="AO29" s="3">
        <v>20</v>
      </c>
      <c r="AP29" s="47">
        <v>18</v>
      </c>
      <c r="AQ29" s="48">
        <v>34</v>
      </c>
    </row>
    <row r="30" spans="1:45" ht="18.899999999999999" customHeight="1">
      <c r="B30" s="48">
        <v>56</v>
      </c>
      <c r="D30" s="3">
        <v>45</v>
      </c>
      <c r="E30" s="13" t="s">
        <v>32</v>
      </c>
      <c r="F30" s="3">
        <v>20</v>
      </c>
      <c r="G30" s="35" t="s">
        <v>43</v>
      </c>
      <c r="H30" s="18"/>
      <c r="AK30" s="19"/>
      <c r="AL30" s="29" t="s">
        <v>29</v>
      </c>
      <c r="AM30" s="3">
        <v>73</v>
      </c>
      <c r="AN30" s="6" t="s">
        <v>29</v>
      </c>
      <c r="AO30" s="3">
        <v>19</v>
      </c>
      <c r="AP30" s="47">
        <v>17</v>
      </c>
      <c r="AQ30" s="48">
        <v>33</v>
      </c>
    </row>
    <row r="31" spans="1:45" ht="18.899999999999999" customHeight="1">
      <c r="B31" s="48">
        <v>57</v>
      </c>
      <c r="D31" s="3">
        <v>46</v>
      </c>
      <c r="E31" s="13" t="s">
        <v>136</v>
      </c>
      <c r="F31" s="3">
        <v>21</v>
      </c>
      <c r="G31" s="35" t="s">
        <v>45</v>
      </c>
      <c r="H31" s="18"/>
      <c r="AK31" s="19"/>
      <c r="AL31" s="44" t="s">
        <v>90</v>
      </c>
      <c r="AM31" s="3">
        <v>72</v>
      </c>
      <c r="AP31" s="47">
        <v>16</v>
      </c>
      <c r="AQ31" s="48">
        <v>33</v>
      </c>
    </row>
    <row r="32" spans="1:45" ht="18.899999999999999" customHeight="1">
      <c r="F32" s="3">
        <v>22</v>
      </c>
      <c r="G32" s="31" t="s">
        <v>61</v>
      </c>
      <c r="H32" s="18"/>
      <c r="AK32" s="19"/>
      <c r="AL32" s="44" t="s">
        <v>35</v>
      </c>
      <c r="AM32" s="3">
        <v>71</v>
      </c>
      <c r="AN32" s="3"/>
      <c r="AP32" s="47">
        <v>15</v>
      </c>
      <c r="AQ32" s="48">
        <v>32</v>
      </c>
    </row>
    <row r="33" spans="2:150" ht="18.899999999999999" customHeight="1">
      <c r="F33" s="3">
        <v>23</v>
      </c>
      <c r="G33" s="31" t="s">
        <v>64</v>
      </c>
      <c r="H33" s="18"/>
      <c r="AK33" s="19"/>
      <c r="AL33" s="29" t="s">
        <v>27</v>
      </c>
      <c r="AM33" s="3">
        <v>70</v>
      </c>
      <c r="AN33" s="6" t="s">
        <v>27</v>
      </c>
      <c r="AO33" s="3">
        <v>18</v>
      </c>
      <c r="AP33" s="47">
        <v>14</v>
      </c>
      <c r="AQ33" s="48">
        <v>31</v>
      </c>
    </row>
    <row r="34" spans="2:150" ht="18.899999999999999" customHeight="1">
      <c r="B34" s="48">
        <v>58</v>
      </c>
      <c r="C34" s="47"/>
      <c r="F34" s="3">
        <v>24</v>
      </c>
      <c r="G34" s="32" t="s">
        <v>112</v>
      </c>
      <c r="H34" s="18"/>
      <c r="AK34" s="19"/>
      <c r="AL34" s="44" t="s">
        <v>88</v>
      </c>
      <c r="AM34" s="3">
        <v>69</v>
      </c>
      <c r="AN34" s="6" t="s">
        <v>25</v>
      </c>
      <c r="AO34" s="9">
        <v>17</v>
      </c>
      <c r="AP34" s="47">
        <v>13</v>
      </c>
      <c r="AQ34" s="48">
        <v>30</v>
      </c>
    </row>
    <row r="35" spans="2:150" ht="18.899999999999999" customHeight="1">
      <c r="B35" s="48">
        <v>59</v>
      </c>
      <c r="C35" s="47"/>
      <c r="F35" s="3">
        <v>25</v>
      </c>
      <c r="G35" s="38" t="s">
        <v>113</v>
      </c>
      <c r="H35" s="18"/>
      <c r="AK35" s="19"/>
      <c r="AL35" s="44" t="s">
        <v>87</v>
      </c>
      <c r="AM35" s="3">
        <v>68</v>
      </c>
      <c r="AN35" s="8" t="s">
        <v>24</v>
      </c>
      <c r="AO35" s="3">
        <v>16</v>
      </c>
      <c r="AQ35" s="48">
        <v>29</v>
      </c>
    </row>
    <row r="36" spans="2:150" ht="18.899999999999999" customHeight="1">
      <c r="F36" s="3">
        <v>26</v>
      </c>
      <c r="G36" s="31" t="s">
        <v>63</v>
      </c>
      <c r="H36" s="18"/>
      <c r="AK36" s="19"/>
      <c r="AL36" s="33" t="s">
        <v>113</v>
      </c>
      <c r="AM36" s="3">
        <v>67</v>
      </c>
      <c r="AN36" s="7" t="s">
        <v>22</v>
      </c>
      <c r="AO36" s="3">
        <v>15</v>
      </c>
    </row>
    <row r="37" spans="2:150" ht="18.899999999999999" customHeight="1">
      <c r="B37" s="48">
        <v>60</v>
      </c>
      <c r="C37" s="47"/>
      <c r="D37" s="9">
        <v>47</v>
      </c>
      <c r="E37" s="6" t="s">
        <v>37</v>
      </c>
      <c r="F37" s="3">
        <v>27</v>
      </c>
      <c r="G37" s="31" t="s">
        <v>65</v>
      </c>
      <c r="H37" s="18"/>
      <c r="AK37" s="19"/>
      <c r="AL37" s="33" t="s">
        <v>112</v>
      </c>
      <c r="AM37" s="3">
        <v>66</v>
      </c>
      <c r="AN37" s="7" t="s">
        <v>20</v>
      </c>
      <c r="AO37" s="3">
        <v>14</v>
      </c>
    </row>
    <row r="38" spans="2:150" ht="18.899999999999999" customHeight="1">
      <c r="B38" s="48">
        <v>61</v>
      </c>
      <c r="D38" s="9">
        <v>48</v>
      </c>
      <c r="E38" s="6" t="s">
        <v>37</v>
      </c>
      <c r="F38" s="3">
        <v>28</v>
      </c>
      <c r="G38" s="31" t="s">
        <v>66</v>
      </c>
      <c r="H38" s="18"/>
      <c r="AK38" s="19"/>
      <c r="AL38" s="29" t="s">
        <v>86</v>
      </c>
      <c r="AM38" s="3">
        <v>65</v>
      </c>
      <c r="AN38" s="6" t="s">
        <v>18</v>
      </c>
      <c r="AO38" s="9">
        <v>13</v>
      </c>
      <c r="AQ38" s="48">
        <v>28</v>
      </c>
    </row>
    <row r="39" spans="2:150" ht="18.899999999999999" customHeight="1">
      <c r="B39" s="48">
        <v>62</v>
      </c>
      <c r="F39" s="3">
        <v>29</v>
      </c>
      <c r="G39" s="31" t="s">
        <v>67</v>
      </c>
      <c r="H39" s="18"/>
      <c r="AK39" s="19"/>
      <c r="AL39" s="29" t="s">
        <v>85</v>
      </c>
      <c r="AM39" s="3">
        <v>64</v>
      </c>
      <c r="AN39" s="6" t="s">
        <v>16</v>
      </c>
      <c r="AO39" s="3">
        <v>12</v>
      </c>
      <c r="AQ39" s="48">
        <v>27</v>
      </c>
    </row>
    <row r="40" spans="2:150" ht="18.899999999999999" customHeight="1">
      <c r="B40" s="48">
        <v>63</v>
      </c>
      <c r="F40" s="3">
        <v>30</v>
      </c>
      <c r="G40" s="31" t="s">
        <v>68</v>
      </c>
      <c r="H40" s="18"/>
      <c r="AK40" s="19"/>
      <c r="AL40" s="39" t="s">
        <v>84</v>
      </c>
      <c r="AM40" s="3">
        <v>63</v>
      </c>
      <c r="AN40" s="3"/>
      <c r="AO40" s="1"/>
      <c r="AQ40" s="48">
        <v>26</v>
      </c>
    </row>
    <row r="41" spans="2:150" ht="18.899999999999999" customHeight="1" thickBot="1">
      <c r="B41" s="48">
        <v>64</v>
      </c>
      <c r="C41" s="47"/>
      <c r="D41" s="1">
        <v>1</v>
      </c>
      <c r="E41" s="14" t="s">
        <v>0</v>
      </c>
      <c r="F41" s="3">
        <v>31</v>
      </c>
      <c r="G41" s="31" t="s">
        <v>0</v>
      </c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2"/>
      <c r="AL41" s="39" t="s">
        <v>83</v>
      </c>
      <c r="AM41" s="3">
        <v>62</v>
      </c>
      <c r="AQ41" s="48">
        <v>25</v>
      </c>
    </row>
    <row r="42" spans="2:150" ht="141.5" thickBot="1">
      <c r="D42" s="1"/>
      <c r="G42" s="20"/>
      <c r="H42" s="40" t="s">
        <v>47</v>
      </c>
      <c r="I42" s="40" t="s">
        <v>49</v>
      </c>
      <c r="J42" s="41" t="s">
        <v>113</v>
      </c>
      <c r="K42" s="41" t="s">
        <v>112</v>
      </c>
      <c r="L42" s="42" t="s">
        <v>69</v>
      </c>
      <c r="M42" s="46" t="s">
        <v>71</v>
      </c>
      <c r="N42" s="46" t="s">
        <v>70</v>
      </c>
      <c r="O42" s="42" t="s">
        <v>72</v>
      </c>
      <c r="P42" s="40" t="s">
        <v>51</v>
      </c>
      <c r="Q42" s="40" t="s">
        <v>52</v>
      </c>
      <c r="R42" s="41" t="s">
        <v>116</v>
      </c>
      <c r="S42" s="41" t="s">
        <v>117</v>
      </c>
      <c r="T42" s="42" t="s">
        <v>73</v>
      </c>
      <c r="U42" s="42" t="s">
        <v>74</v>
      </c>
      <c r="V42" s="42" t="s">
        <v>75</v>
      </c>
      <c r="W42" s="42" t="s">
        <v>76</v>
      </c>
      <c r="X42" s="42" t="s">
        <v>77</v>
      </c>
      <c r="Y42" s="42" t="s">
        <v>78</v>
      </c>
      <c r="Z42" s="41" t="s">
        <v>117</v>
      </c>
      <c r="AA42" s="41" t="s">
        <v>116</v>
      </c>
      <c r="AB42" s="40" t="s">
        <v>54</v>
      </c>
      <c r="AC42" s="40" t="s">
        <v>55</v>
      </c>
      <c r="AD42" s="42" t="s">
        <v>79</v>
      </c>
      <c r="AE42" s="42" t="s">
        <v>80</v>
      </c>
      <c r="AF42" s="42" t="s">
        <v>81</v>
      </c>
      <c r="AG42" s="42" t="s">
        <v>82</v>
      </c>
      <c r="AH42" s="41" t="s">
        <v>112</v>
      </c>
      <c r="AI42" s="41" t="s">
        <v>113</v>
      </c>
      <c r="AJ42" s="40" t="s">
        <v>58</v>
      </c>
      <c r="AK42" s="43" t="s">
        <v>59</v>
      </c>
      <c r="AL42" s="22"/>
      <c r="AO42" s="10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</row>
    <row r="43" spans="2:150" s="3" customFormat="1" ht="18" customHeight="1">
      <c r="E43" s="6"/>
      <c r="H43" s="3">
        <v>32</v>
      </c>
      <c r="I43" s="3">
        <v>33</v>
      </c>
      <c r="J43" s="3">
        <v>34</v>
      </c>
      <c r="K43" s="3">
        <v>35</v>
      </c>
      <c r="L43" s="3">
        <v>36</v>
      </c>
      <c r="M43" s="3">
        <v>37</v>
      </c>
      <c r="N43" s="3">
        <v>38</v>
      </c>
      <c r="O43" s="3">
        <v>39</v>
      </c>
      <c r="P43" s="3">
        <v>40</v>
      </c>
      <c r="Q43" s="3">
        <v>41</v>
      </c>
      <c r="R43" s="3">
        <v>42</v>
      </c>
      <c r="S43" s="3">
        <v>43</v>
      </c>
      <c r="T43" s="3">
        <v>44</v>
      </c>
      <c r="U43" s="3">
        <v>45</v>
      </c>
      <c r="V43" s="3">
        <v>46</v>
      </c>
      <c r="W43" s="3">
        <v>47</v>
      </c>
      <c r="X43" s="3">
        <v>48</v>
      </c>
      <c r="Y43" s="3">
        <v>49</v>
      </c>
      <c r="Z43" s="3">
        <v>50</v>
      </c>
      <c r="AA43" s="3">
        <v>51</v>
      </c>
      <c r="AB43" s="3">
        <v>52</v>
      </c>
      <c r="AC43" s="3">
        <v>53</v>
      </c>
      <c r="AD43" s="3">
        <v>54</v>
      </c>
      <c r="AE43" s="3">
        <v>55</v>
      </c>
      <c r="AF43" s="3">
        <v>56</v>
      </c>
      <c r="AG43" s="3">
        <v>57</v>
      </c>
      <c r="AH43" s="3">
        <v>58</v>
      </c>
      <c r="AI43" s="3">
        <v>59</v>
      </c>
      <c r="AJ43" s="3">
        <v>60</v>
      </c>
      <c r="AK43" s="3">
        <v>61</v>
      </c>
    </row>
    <row r="44" spans="2:150" s="3" customFormat="1" ht="117.65" customHeight="1">
      <c r="E44" s="6"/>
      <c r="H44" s="4" t="s">
        <v>1</v>
      </c>
      <c r="I44" s="4" t="s">
        <v>3</v>
      </c>
      <c r="P44" s="4" t="s">
        <v>126</v>
      </c>
      <c r="Q44" s="4" t="s">
        <v>6</v>
      </c>
      <c r="Z44" s="5" t="s">
        <v>127</v>
      </c>
      <c r="AA44" s="5" t="s">
        <v>128</v>
      </c>
      <c r="AB44" s="4" t="s">
        <v>9</v>
      </c>
      <c r="AC44" s="4" t="s">
        <v>10</v>
      </c>
      <c r="AJ44" s="4" t="s">
        <v>12</v>
      </c>
      <c r="AK44" s="4" t="s">
        <v>14</v>
      </c>
    </row>
    <row r="45" spans="2:150" s="3" customFormat="1">
      <c r="E45" s="6"/>
      <c r="H45" s="3">
        <v>2</v>
      </c>
      <c r="I45" s="3">
        <v>3</v>
      </c>
      <c r="P45" s="3">
        <v>4</v>
      </c>
      <c r="Q45" s="3">
        <v>5</v>
      </c>
      <c r="Z45" s="3">
        <v>6</v>
      </c>
      <c r="AA45" s="3">
        <v>7</v>
      </c>
      <c r="AB45" s="3">
        <v>8</v>
      </c>
      <c r="AC45" s="3">
        <v>9</v>
      </c>
      <c r="AJ45" s="3">
        <v>10</v>
      </c>
      <c r="AK45" s="3">
        <v>11</v>
      </c>
    </row>
    <row r="46" spans="2:150">
      <c r="H46" s="47">
        <v>5</v>
      </c>
      <c r="I46" s="47">
        <v>6</v>
      </c>
      <c r="P46" s="47">
        <v>7</v>
      </c>
      <c r="Q46" s="47">
        <v>8</v>
      </c>
      <c r="AB46" s="47">
        <v>9</v>
      </c>
      <c r="AC46" s="47">
        <v>10</v>
      </c>
      <c r="AJ46" s="47">
        <v>11</v>
      </c>
      <c r="AK46" s="47">
        <v>12</v>
      </c>
    </row>
    <row r="47" spans="2:150">
      <c r="H47" s="48">
        <v>1</v>
      </c>
      <c r="I47" s="48">
        <v>2</v>
      </c>
      <c r="L47" s="48">
        <v>3</v>
      </c>
      <c r="M47" s="48">
        <v>4</v>
      </c>
      <c r="N47" s="48">
        <v>5</v>
      </c>
      <c r="O47" s="48">
        <v>6</v>
      </c>
      <c r="P47" s="48">
        <v>7</v>
      </c>
      <c r="Q47" s="48">
        <v>8</v>
      </c>
      <c r="R47" s="48">
        <v>9</v>
      </c>
      <c r="S47" s="48">
        <v>10</v>
      </c>
      <c r="T47" s="48">
        <v>11</v>
      </c>
      <c r="U47" s="48">
        <v>12</v>
      </c>
      <c r="V47" s="48">
        <v>13</v>
      </c>
      <c r="W47" s="48">
        <v>14</v>
      </c>
      <c r="X47" s="48">
        <v>15</v>
      </c>
      <c r="Y47" s="48">
        <v>16</v>
      </c>
      <c r="AB47" s="48">
        <v>17</v>
      </c>
      <c r="AC47" s="48">
        <v>18</v>
      </c>
      <c r="AD47" s="48">
        <v>19</v>
      </c>
      <c r="AE47" s="48">
        <v>20</v>
      </c>
      <c r="AF47" s="48">
        <v>21</v>
      </c>
      <c r="AG47" s="48">
        <v>22</v>
      </c>
      <c r="AJ47" s="48">
        <v>23</v>
      </c>
      <c r="AK47" s="48">
        <v>24</v>
      </c>
    </row>
    <row r="50" spans="20:20">
      <c r="T50" s="1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0CA3-F516-4063-B4D1-B063F89F458D}">
  <dimension ref="A1:M104"/>
  <sheetViews>
    <sheetView workbookViewId="0">
      <selection activeCell="C2" sqref="C2"/>
    </sheetView>
  </sheetViews>
  <sheetFormatPr defaultColWidth="9" defaultRowHeight="14"/>
  <cols>
    <col min="1" max="2" width="9" style="94"/>
    <col min="3" max="3" width="26.6328125" style="94" customWidth="1"/>
    <col min="4" max="4" width="9" style="94"/>
    <col min="5" max="5" width="19" style="94" customWidth="1"/>
    <col min="6" max="6" width="21.08984375" style="94" customWidth="1"/>
    <col min="7" max="7" width="29.36328125" style="94" customWidth="1"/>
    <col min="8" max="8" width="46.453125" style="94" customWidth="1"/>
    <col min="9" max="9" width="19.08984375" style="94" customWidth="1"/>
    <col min="10" max="16384" width="9" style="94"/>
  </cols>
  <sheetData>
    <row r="1" spans="2:8">
      <c r="B1" s="94" t="s">
        <v>275</v>
      </c>
      <c r="C1" s="94" t="s">
        <v>276</v>
      </c>
    </row>
    <row r="2" spans="2:8">
      <c r="B2" s="94" t="s">
        <v>277</v>
      </c>
      <c r="C2" s="94" t="s">
        <v>278</v>
      </c>
    </row>
    <row r="3" spans="2:8">
      <c r="B3" s="94" t="s">
        <v>279</v>
      </c>
      <c r="C3" s="94" t="s">
        <v>280</v>
      </c>
    </row>
    <row r="4" spans="2:8" ht="14.5" thickBot="1">
      <c r="B4" s="404" t="s">
        <v>281</v>
      </c>
      <c r="C4" s="404"/>
      <c r="D4" s="404"/>
      <c r="E4" s="404"/>
      <c r="F4" s="404"/>
      <c r="G4" s="404"/>
    </row>
    <row r="5" spans="2:8" ht="14.5" thickBot="1">
      <c r="B5" s="64" t="s">
        <v>237</v>
      </c>
      <c r="C5" s="146" t="s">
        <v>238</v>
      </c>
      <c r="D5" s="146" t="s">
        <v>239</v>
      </c>
      <c r="E5" s="146" t="s">
        <v>240</v>
      </c>
      <c r="F5" s="147" t="s">
        <v>241</v>
      </c>
      <c r="G5" s="148" t="s">
        <v>242</v>
      </c>
    </row>
    <row r="6" spans="2:8">
      <c r="B6" s="57">
        <v>1</v>
      </c>
      <c r="C6" s="58" t="s">
        <v>33</v>
      </c>
      <c r="D6" s="149" t="s">
        <v>244</v>
      </c>
      <c r="E6" s="149"/>
      <c r="F6" s="150"/>
      <c r="G6" s="151" t="s">
        <v>139</v>
      </c>
      <c r="H6" s="94" t="s">
        <v>245</v>
      </c>
    </row>
    <row r="7" spans="2:8" ht="98">
      <c r="B7" s="59">
        <v>2</v>
      </c>
      <c r="C7" s="60" t="s">
        <v>153</v>
      </c>
      <c r="D7" s="152" t="s">
        <v>246</v>
      </c>
      <c r="E7" s="152" t="s">
        <v>252</v>
      </c>
      <c r="F7" s="152"/>
      <c r="G7" s="153" t="s">
        <v>139</v>
      </c>
      <c r="H7" s="219" t="s">
        <v>329</v>
      </c>
    </row>
    <row r="8" spans="2:8" ht="14.5" thickBot="1">
      <c r="B8" s="61">
        <v>3</v>
      </c>
      <c r="C8" s="62" t="s">
        <v>0</v>
      </c>
      <c r="D8" s="154" t="s">
        <v>244</v>
      </c>
      <c r="E8" s="154" t="s">
        <v>250</v>
      </c>
      <c r="F8" s="155"/>
      <c r="G8" s="156" t="s">
        <v>22</v>
      </c>
      <c r="H8" s="220"/>
    </row>
    <row r="9" spans="2:8" ht="14.5" thickBot="1">
      <c r="B9" s="405" t="s">
        <v>251</v>
      </c>
      <c r="C9" s="405"/>
      <c r="D9" s="405"/>
      <c r="E9" s="405"/>
      <c r="F9" s="405"/>
      <c r="G9" s="405"/>
    </row>
    <row r="10" spans="2:8">
      <c r="B10" s="57">
        <v>4</v>
      </c>
      <c r="C10" s="63" t="s">
        <v>154</v>
      </c>
      <c r="D10" s="149" t="s">
        <v>246</v>
      </c>
      <c r="E10" s="149" t="s">
        <v>252</v>
      </c>
      <c r="F10" s="150"/>
      <c r="G10" s="151" t="s">
        <v>139</v>
      </c>
    </row>
    <row r="11" spans="2:8" ht="14.5" thickBot="1">
      <c r="B11" s="61">
        <v>5</v>
      </c>
      <c r="C11" s="62" t="s">
        <v>155</v>
      </c>
      <c r="D11" s="154" t="s">
        <v>246</v>
      </c>
      <c r="E11" s="154" t="s">
        <v>252</v>
      </c>
      <c r="F11" s="155"/>
      <c r="G11" s="157" t="s">
        <v>139</v>
      </c>
    </row>
    <row r="12" spans="2:8" ht="14.5" thickBot="1">
      <c r="B12" s="405" t="s">
        <v>282</v>
      </c>
      <c r="C12" s="405"/>
      <c r="D12" s="405"/>
      <c r="E12" s="405"/>
      <c r="F12" s="405"/>
      <c r="G12" s="405"/>
    </row>
    <row r="13" spans="2:8">
      <c r="B13" s="57">
        <v>6</v>
      </c>
      <c r="C13" s="63" t="s">
        <v>156</v>
      </c>
      <c r="D13" s="149" t="s">
        <v>257</v>
      </c>
      <c r="E13" s="149" t="s">
        <v>250</v>
      </c>
      <c r="F13" s="150" t="s">
        <v>283</v>
      </c>
      <c r="G13" s="158" t="s">
        <v>248</v>
      </c>
    </row>
    <row r="14" spans="2:8" ht="14.5" thickBot="1">
      <c r="B14" s="61">
        <v>7</v>
      </c>
      <c r="C14" s="62" t="s">
        <v>87</v>
      </c>
      <c r="D14" s="154" t="s">
        <v>246</v>
      </c>
      <c r="E14" s="154" t="s">
        <v>247</v>
      </c>
      <c r="F14" s="155"/>
      <c r="G14" s="156" t="s">
        <v>284</v>
      </c>
    </row>
    <row r="15" spans="2:8" ht="14.5" thickBot="1">
      <c r="B15" s="405" t="s">
        <v>285</v>
      </c>
      <c r="C15" s="405"/>
      <c r="D15" s="405"/>
      <c r="E15" s="405"/>
      <c r="F15" s="405"/>
      <c r="G15" s="405"/>
    </row>
    <row r="16" spans="2:8">
      <c r="B16" s="57">
        <v>8</v>
      </c>
      <c r="C16" s="63" t="s">
        <v>157</v>
      </c>
      <c r="D16" s="149" t="s">
        <v>244</v>
      </c>
      <c r="E16" s="149"/>
      <c r="F16" s="150"/>
      <c r="G16" s="151" t="s">
        <v>139</v>
      </c>
    </row>
    <row r="17" spans="2:13" ht="14.5" thickBot="1">
      <c r="B17" s="61">
        <v>9</v>
      </c>
      <c r="C17" s="62" t="s">
        <v>158</v>
      </c>
      <c r="D17" s="154" t="s">
        <v>244</v>
      </c>
      <c r="E17" s="154"/>
      <c r="F17" s="155"/>
      <c r="G17" s="157" t="s">
        <v>139</v>
      </c>
    </row>
    <row r="18" spans="2:13" ht="14.5" thickBot="1">
      <c r="B18" s="405" t="s">
        <v>254</v>
      </c>
      <c r="C18" s="405"/>
      <c r="D18" s="405"/>
      <c r="E18" s="405"/>
      <c r="F18" s="405"/>
      <c r="G18" s="405"/>
    </row>
    <row r="19" spans="2:13" ht="14.5" thickBot="1">
      <c r="B19" s="64">
        <v>10</v>
      </c>
      <c r="C19" s="65" t="s">
        <v>159</v>
      </c>
      <c r="D19" s="159" t="s">
        <v>257</v>
      </c>
      <c r="E19" s="159"/>
      <c r="F19" s="160" t="s">
        <v>258</v>
      </c>
      <c r="G19" s="161" t="s">
        <v>286</v>
      </c>
    </row>
    <row r="20" spans="2:13">
      <c r="B20" s="162"/>
      <c r="C20" s="403" t="s">
        <v>287</v>
      </c>
      <c r="D20" s="403"/>
      <c r="E20" s="403"/>
      <c r="F20" s="403"/>
      <c r="G20" s="403"/>
    </row>
    <row r="21" spans="2:13" ht="14.5" thickBot="1">
      <c r="B21" s="396" t="s">
        <v>288</v>
      </c>
      <c r="C21" s="396"/>
      <c r="D21" s="396"/>
      <c r="E21" s="396"/>
      <c r="F21" s="396"/>
      <c r="G21" s="396"/>
    </row>
    <row r="22" spans="2:13" ht="14.5" thickBot="1">
      <c r="B22" s="64" t="s">
        <v>237</v>
      </c>
      <c r="C22" s="146" t="s">
        <v>238</v>
      </c>
      <c r="D22" s="146" t="s">
        <v>239</v>
      </c>
      <c r="E22" s="146" t="s">
        <v>289</v>
      </c>
      <c r="F22" s="146" t="s">
        <v>241</v>
      </c>
      <c r="G22" s="148" t="s">
        <v>242</v>
      </c>
    </row>
    <row r="23" spans="2:13" ht="14.5" thickBot="1">
      <c r="B23" s="57">
        <v>11</v>
      </c>
      <c r="C23" s="163" t="s">
        <v>152</v>
      </c>
      <c r="D23" s="164" t="s">
        <v>244</v>
      </c>
      <c r="E23" s="164">
        <v>0</v>
      </c>
      <c r="F23" s="164"/>
      <c r="G23" s="165" t="s">
        <v>139</v>
      </c>
    </row>
    <row r="24" spans="2:13" ht="14.5" thickBot="1">
      <c r="B24" s="57">
        <v>12</v>
      </c>
      <c r="C24" s="66" t="s">
        <v>151</v>
      </c>
      <c r="D24" s="166" t="s">
        <v>244</v>
      </c>
      <c r="E24" s="166">
        <v>1</v>
      </c>
      <c r="F24" s="166"/>
      <c r="G24" s="167" t="s">
        <v>139</v>
      </c>
    </row>
    <row r="25" spans="2:13" ht="14.5" thickBot="1">
      <c r="B25" s="57">
        <v>13</v>
      </c>
      <c r="C25" s="66" t="s">
        <v>150</v>
      </c>
      <c r="D25" s="166" t="s">
        <v>244</v>
      </c>
      <c r="E25" s="166">
        <v>2</v>
      </c>
      <c r="F25" s="166"/>
      <c r="G25" s="167" t="s">
        <v>139</v>
      </c>
    </row>
    <row r="26" spans="2:13" ht="14.5" thickBot="1">
      <c r="B26" s="57">
        <v>14</v>
      </c>
      <c r="C26" s="66" t="s">
        <v>149</v>
      </c>
      <c r="D26" s="166" t="s">
        <v>257</v>
      </c>
      <c r="E26" s="166">
        <v>3</v>
      </c>
      <c r="F26" s="166"/>
      <c r="G26" s="167" t="s">
        <v>139</v>
      </c>
    </row>
    <row r="27" spans="2:13" ht="14.5" thickBot="1">
      <c r="B27" s="57">
        <v>15</v>
      </c>
      <c r="C27" s="66" t="s">
        <v>148</v>
      </c>
      <c r="D27" s="166" t="s">
        <v>257</v>
      </c>
      <c r="E27" s="166">
        <v>4</v>
      </c>
      <c r="F27" s="166"/>
      <c r="G27" s="167" t="s">
        <v>139</v>
      </c>
    </row>
    <row r="28" spans="2:13">
      <c r="B28" s="57">
        <v>16</v>
      </c>
      <c r="C28" s="66" t="s">
        <v>160</v>
      </c>
      <c r="D28" s="166" t="s">
        <v>257</v>
      </c>
      <c r="E28" s="166">
        <v>6</v>
      </c>
      <c r="F28" s="166"/>
      <c r="G28" s="168" t="s">
        <v>267</v>
      </c>
    </row>
    <row r="29" spans="2:13" ht="14.5" thickBot="1">
      <c r="B29" s="396" t="s">
        <v>290</v>
      </c>
      <c r="C29" s="396"/>
      <c r="D29" s="396"/>
      <c r="E29" s="396"/>
      <c r="F29" s="396"/>
      <c r="G29" s="396"/>
    </row>
    <row r="30" spans="2:13" ht="14.5" thickBot="1">
      <c r="B30" s="64" t="s">
        <v>237</v>
      </c>
      <c r="C30" s="146" t="s">
        <v>238</v>
      </c>
      <c r="D30" s="146" t="s">
        <v>239</v>
      </c>
      <c r="E30" s="146" t="s">
        <v>240</v>
      </c>
      <c r="F30" s="147" t="s">
        <v>291</v>
      </c>
      <c r="G30" s="148" t="s">
        <v>242</v>
      </c>
    </row>
    <row r="31" spans="2:13">
      <c r="B31" s="67">
        <v>17</v>
      </c>
      <c r="C31" s="68" t="s">
        <v>161</v>
      </c>
      <c r="D31" s="169" t="s">
        <v>257</v>
      </c>
      <c r="E31" s="170"/>
      <c r="F31" s="170"/>
      <c r="G31" s="171" t="s">
        <v>139</v>
      </c>
      <c r="I31" s="68" t="s">
        <v>195</v>
      </c>
      <c r="J31" s="169" t="s">
        <v>266</v>
      </c>
      <c r="K31" s="170"/>
      <c r="L31" s="170"/>
      <c r="M31" s="171" t="s">
        <v>139</v>
      </c>
    </row>
    <row r="32" spans="2:13">
      <c r="B32" s="67">
        <v>18</v>
      </c>
      <c r="C32" s="69" t="s">
        <v>162</v>
      </c>
      <c r="D32" s="172" t="s">
        <v>257</v>
      </c>
      <c r="E32" s="173"/>
      <c r="F32" s="173" t="s">
        <v>292</v>
      </c>
      <c r="G32" s="174" t="s">
        <v>286</v>
      </c>
      <c r="I32" s="69" t="s">
        <v>293</v>
      </c>
      <c r="J32" s="172" t="s">
        <v>293</v>
      </c>
      <c r="K32" s="173"/>
      <c r="L32" s="173" t="s">
        <v>292</v>
      </c>
      <c r="M32" s="174" t="s">
        <v>22</v>
      </c>
    </row>
    <row r="33" spans="2:13">
      <c r="B33" s="67">
        <v>19</v>
      </c>
      <c r="C33" s="69" t="s">
        <v>163</v>
      </c>
      <c r="D33" s="172" t="s">
        <v>257</v>
      </c>
      <c r="E33" s="173"/>
      <c r="F33" s="173"/>
      <c r="G33" s="171" t="s">
        <v>139</v>
      </c>
      <c r="I33" s="69" t="s">
        <v>194</v>
      </c>
      <c r="J33" s="172" t="s">
        <v>265</v>
      </c>
      <c r="K33" s="173"/>
      <c r="L33" s="173"/>
      <c r="M33" s="171" t="s">
        <v>139</v>
      </c>
    </row>
    <row r="34" spans="2:13">
      <c r="B34" s="67">
        <v>20</v>
      </c>
      <c r="C34" s="69" t="s">
        <v>164</v>
      </c>
      <c r="D34" s="172" t="s">
        <v>257</v>
      </c>
      <c r="E34" s="173"/>
      <c r="F34" s="173" t="s">
        <v>294</v>
      </c>
      <c r="G34" s="174" t="s">
        <v>286</v>
      </c>
      <c r="I34" s="69" t="s">
        <v>293</v>
      </c>
      <c r="J34" s="172" t="s">
        <v>293</v>
      </c>
      <c r="K34" s="173"/>
      <c r="L34" s="173" t="s">
        <v>294</v>
      </c>
      <c r="M34" s="174" t="s">
        <v>22</v>
      </c>
    </row>
    <row r="35" spans="2:13">
      <c r="B35" s="67">
        <v>21</v>
      </c>
      <c r="C35" s="69" t="s">
        <v>165</v>
      </c>
      <c r="D35" s="172" t="s">
        <v>257</v>
      </c>
      <c r="E35" s="173"/>
      <c r="F35" s="173" t="s">
        <v>295</v>
      </c>
      <c r="G35" s="174" t="s">
        <v>286</v>
      </c>
      <c r="I35" s="69" t="s">
        <v>293</v>
      </c>
      <c r="J35" s="172" t="s">
        <v>293</v>
      </c>
      <c r="K35" s="173"/>
      <c r="L35" s="173" t="s">
        <v>295</v>
      </c>
      <c r="M35" s="174" t="s">
        <v>22</v>
      </c>
    </row>
    <row r="36" spans="2:13">
      <c r="B36" s="67">
        <v>22</v>
      </c>
      <c r="C36" s="69" t="s">
        <v>83</v>
      </c>
      <c r="D36" s="172" t="s">
        <v>244</v>
      </c>
      <c r="E36" s="173"/>
      <c r="F36" s="173"/>
      <c r="G36" s="171" t="s">
        <v>139</v>
      </c>
      <c r="I36" s="69" t="s">
        <v>293</v>
      </c>
      <c r="J36" s="172" t="s">
        <v>296</v>
      </c>
      <c r="K36" s="173"/>
      <c r="L36" s="173"/>
      <c r="M36" s="171" t="s">
        <v>22</v>
      </c>
    </row>
    <row r="37" spans="2:13">
      <c r="B37" s="67">
        <v>23</v>
      </c>
      <c r="C37" s="69" t="s">
        <v>166</v>
      </c>
      <c r="D37" s="172" t="s">
        <v>244</v>
      </c>
      <c r="E37" s="173" t="s">
        <v>264</v>
      </c>
      <c r="F37" s="173"/>
      <c r="G37" s="175" t="s">
        <v>139</v>
      </c>
      <c r="I37" s="69" t="s">
        <v>193</v>
      </c>
      <c r="J37" s="172" t="s">
        <v>263</v>
      </c>
      <c r="K37" s="173" t="s">
        <v>264</v>
      </c>
      <c r="L37" s="173"/>
      <c r="M37" s="175" t="s">
        <v>139</v>
      </c>
    </row>
    <row r="38" spans="2:13">
      <c r="B38" s="67">
        <v>24</v>
      </c>
      <c r="C38" s="69" t="s">
        <v>82</v>
      </c>
      <c r="D38" s="172" t="s">
        <v>244</v>
      </c>
      <c r="E38" s="173"/>
      <c r="F38" s="173"/>
      <c r="G38" s="171" t="s">
        <v>139</v>
      </c>
      <c r="I38" s="69" t="s">
        <v>293</v>
      </c>
      <c r="J38" s="172" t="s">
        <v>296</v>
      </c>
      <c r="K38" s="173"/>
      <c r="L38" s="173"/>
      <c r="M38" s="171" t="s">
        <v>22</v>
      </c>
    </row>
    <row r="39" spans="2:13">
      <c r="B39" s="67">
        <v>25</v>
      </c>
      <c r="C39" s="69" t="s">
        <v>85</v>
      </c>
      <c r="D39" s="172" t="s">
        <v>244</v>
      </c>
      <c r="E39" s="173"/>
      <c r="F39" s="173"/>
      <c r="G39" s="171" t="s">
        <v>139</v>
      </c>
      <c r="I39" s="69" t="s">
        <v>293</v>
      </c>
      <c r="J39" s="172" t="s">
        <v>296</v>
      </c>
      <c r="K39" s="173"/>
      <c r="L39" s="173"/>
      <c r="M39" s="171" t="s">
        <v>22</v>
      </c>
    </row>
    <row r="40" spans="2:13">
      <c r="B40" s="67">
        <v>26</v>
      </c>
      <c r="C40" s="69" t="s">
        <v>167</v>
      </c>
      <c r="D40" s="172" t="s">
        <v>244</v>
      </c>
      <c r="E40" s="173" t="s">
        <v>262</v>
      </c>
      <c r="F40" s="173"/>
      <c r="G40" s="175" t="s">
        <v>139</v>
      </c>
      <c r="I40" s="69" t="s">
        <v>192</v>
      </c>
      <c r="J40" s="172" t="s">
        <v>261</v>
      </c>
      <c r="K40" s="173" t="s">
        <v>262</v>
      </c>
      <c r="L40" s="173"/>
      <c r="M40" s="175" t="s">
        <v>139</v>
      </c>
    </row>
    <row r="41" spans="2:13">
      <c r="B41" s="67">
        <v>27</v>
      </c>
      <c r="C41" s="69" t="s">
        <v>79</v>
      </c>
      <c r="D41" s="172" t="s">
        <v>244</v>
      </c>
      <c r="E41" s="173"/>
      <c r="F41" s="173"/>
      <c r="G41" s="171" t="s">
        <v>139</v>
      </c>
      <c r="I41" s="69" t="s">
        <v>293</v>
      </c>
      <c r="J41" s="172" t="s">
        <v>296</v>
      </c>
      <c r="K41" s="173"/>
      <c r="L41" s="173"/>
      <c r="M41" s="171" t="s">
        <v>22</v>
      </c>
    </row>
    <row r="42" spans="2:13">
      <c r="B42" s="67">
        <v>28</v>
      </c>
      <c r="C42" s="69" t="s">
        <v>81</v>
      </c>
      <c r="D42" s="172" t="s">
        <v>244</v>
      </c>
      <c r="E42" s="173"/>
      <c r="F42" s="173"/>
      <c r="G42" s="171" t="s">
        <v>139</v>
      </c>
      <c r="I42" s="69" t="s">
        <v>293</v>
      </c>
      <c r="J42" s="172" t="s">
        <v>296</v>
      </c>
      <c r="K42" s="173"/>
      <c r="L42" s="173"/>
      <c r="M42" s="171" t="s">
        <v>22</v>
      </c>
    </row>
    <row r="43" spans="2:13">
      <c r="B43" s="67">
        <v>29</v>
      </c>
      <c r="C43" s="69" t="s">
        <v>80</v>
      </c>
      <c r="D43" s="172" t="s">
        <v>244</v>
      </c>
      <c r="E43" s="173"/>
      <c r="F43" s="173"/>
      <c r="G43" s="171" t="s">
        <v>139</v>
      </c>
      <c r="I43" s="69" t="s">
        <v>293</v>
      </c>
      <c r="J43" s="172" t="s">
        <v>296</v>
      </c>
      <c r="K43" s="173"/>
      <c r="L43" s="173"/>
      <c r="M43" s="171" t="s">
        <v>22</v>
      </c>
    </row>
    <row r="44" spans="2:13">
      <c r="B44" s="67">
        <v>30</v>
      </c>
      <c r="C44" s="69" t="s">
        <v>168</v>
      </c>
      <c r="D44" s="172" t="s">
        <v>257</v>
      </c>
      <c r="E44" s="173"/>
      <c r="F44" s="173" t="s">
        <v>297</v>
      </c>
      <c r="G44" s="174" t="s">
        <v>286</v>
      </c>
      <c r="I44" s="176"/>
      <c r="J44" s="177"/>
      <c r="K44" s="178"/>
      <c r="L44" s="178"/>
      <c r="M44" s="179"/>
    </row>
    <row r="45" spans="2:13" ht="14.5" thickBot="1">
      <c r="B45" s="67">
        <v>31</v>
      </c>
      <c r="C45" s="70" t="s">
        <v>169</v>
      </c>
      <c r="D45" s="180" t="s">
        <v>257</v>
      </c>
      <c r="E45" s="181"/>
      <c r="F45" s="181" t="s">
        <v>298</v>
      </c>
      <c r="G45" s="182" t="s">
        <v>284</v>
      </c>
      <c r="I45" s="70" t="s">
        <v>299</v>
      </c>
      <c r="J45" s="180" t="s">
        <v>257</v>
      </c>
      <c r="K45" s="181"/>
      <c r="L45" s="181" t="s">
        <v>298</v>
      </c>
      <c r="M45" s="182" t="s">
        <v>286</v>
      </c>
    </row>
    <row r="46" spans="2:13" ht="14.5" thickBot="1">
      <c r="B46" s="397" t="s">
        <v>300</v>
      </c>
      <c r="C46" s="397"/>
      <c r="D46" s="397"/>
      <c r="E46" s="397"/>
      <c r="F46" s="397"/>
      <c r="G46" s="397"/>
    </row>
    <row r="47" spans="2:13" ht="14.5" thickBot="1">
      <c r="B47" s="64" t="s">
        <v>237</v>
      </c>
      <c r="C47" s="146" t="s">
        <v>238</v>
      </c>
      <c r="D47" s="146" t="s">
        <v>239</v>
      </c>
      <c r="E47" s="146" t="s">
        <v>240</v>
      </c>
      <c r="F47" s="147" t="s">
        <v>291</v>
      </c>
      <c r="G47" s="148" t="s">
        <v>242</v>
      </c>
    </row>
    <row r="48" spans="2:13">
      <c r="B48" s="67">
        <v>32</v>
      </c>
      <c r="C48" s="71" t="s">
        <v>170</v>
      </c>
      <c r="D48" s="183" t="s">
        <v>257</v>
      </c>
      <c r="E48" s="184"/>
      <c r="F48" s="184"/>
      <c r="G48" s="185" t="s">
        <v>139</v>
      </c>
      <c r="I48" s="71" t="s">
        <v>191</v>
      </c>
      <c r="J48" s="183" t="s">
        <v>266</v>
      </c>
      <c r="K48" s="184"/>
      <c r="L48" s="184"/>
      <c r="M48" s="185" t="s">
        <v>139</v>
      </c>
    </row>
    <row r="49" spans="2:13">
      <c r="B49" s="67">
        <v>33</v>
      </c>
      <c r="C49" s="72" t="s">
        <v>171</v>
      </c>
      <c r="D49" s="186" t="s">
        <v>257</v>
      </c>
      <c r="E49" s="187"/>
      <c r="F49" s="187" t="s">
        <v>301</v>
      </c>
      <c r="G49" s="188" t="s">
        <v>286</v>
      </c>
      <c r="I49" s="72" t="s">
        <v>293</v>
      </c>
      <c r="J49" s="186" t="s">
        <v>293</v>
      </c>
      <c r="K49" s="187"/>
      <c r="L49" s="187" t="s">
        <v>301</v>
      </c>
      <c r="M49" s="188" t="s">
        <v>22</v>
      </c>
    </row>
    <row r="50" spans="2:13">
      <c r="B50" s="67">
        <v>34</v>
      </c>
      <c r="C50" s="72" t="s">
        <v>172</v>
      </c>
      <c r="D50" s="186" t="s">
        <v>257</v>
      </c>
      <c r="E50" s="187"/>
      <c r="F50" s="187"/>
      <c r="G50" s="185" t="s">
        <v>139</v>
      </c>
      <c r="I50" s="72" t="s">
        <v>190</v>
      </c>
      <c r="J50" s="186" t="s">
        <v>265</v>
      </c>
      <c r="K50" s="187"/>
      <c r="L50" s="187"/>
      <c r="M50" s="185" t="s">
        <v>139</v>
      </c>
    </row>
    <row r="51" spans="2:13">
      <c r="B51" s="67">
        <v>35</v>
      </c>
      <c r="C51" s="72" t="s">
        <v>173</v>
      </c>
      <c r="D51" s="186" t="s">
        <v>257</v>
      </c>
      <c r="E51" s="187"/>
      <c r="F51" s="187" t="s">
        <v>302</v>
      </c>
      <c r="G51" s="188" t="s">
        <v>284</v>
      </c>
      <c r="I51" s="72" t="s">
        <v>293</v>
      </c>
      <c r="J51" s="186" t="s">
        <v>293</v>
      </c>
      <c r="K51" s="187"/>
      <c r="L51" s="187" t="s">
        <v>302</v>
      </c>
      <c r="M51" s="188" t="s">
        <v>22</v>
      </c>
    </row>
    <row r="52" spans="2:13">
      <c r="B52" s="67">
        <v>36</v>
      </c>
      <c r="C52" s="73" t="s">
        <v>174</v>
      </c>
      <c r="D52" s="186" t="s">
        <v>257</v>
      </c>
      <c r="E52" s="187"/>
      <c r="F52" s="187" t="s">
        <v>303</v>
      </c>
      <c r="G52" s="188" t="s">
        <v>286</v>
      </c>
      <c r="I52" s="73" t="s">
        <v>293</v>
      </c>
      <c r="J52" s="186" t="s">
        <v>293</v>
      </c>
      <c r="K52" s="187"/>
      <c r="L52" s="187" t="s">
        <v>303</v>
      </c>
      <c r="M52" s="188" t="s">
        <v>146</v>
      </c>
    </row>
    <row r="53" spans="2:13">
      <c r="B53" s="67">
        <v>37</v>
      </c>
      <c r="C53" s="72" t="s">
        <v>72</v>
      </c>
      <c r="D53" s="186" t="s">
        <v>244</v>
      </c>
      <c r="E53" s="187"/>
      <c r="F53" s="187"/>
      <c r="G53" s="185" t="s">
        <v>139</v>
      </c>
      <c r="I53" s="72" t="s">
        <v>293</v>
      </c>
      <c r="J53" s="186" t="s">
        <v>296</v>
      </c>
      <c r="K53" s="187"/>
      <c r="L53" s="187"/>
      <c r="M53" s="185" t="s">
        <v>22</v>
      </c>
    </row>
    <row r="54" spans="2:13">
      <c r="B54" s="67">
        <v>38</v>
      </c>
      <c r="C54" s="72" t="s">
        <v>175</v>
      </c>
      <c r="D54" s="186" t="s">
        <v>244</v>
      </c>
      <c r="E54" s="187" t="s">
        <v>264</v>
      </c>
      <c r="F54" s="187"/>
      <c r="G54" s="189" t="s">
        <v>139</v>
      </c>
      <c r="I54" s="72" t="s">
        <v>189</v>
      </c>
      <c r="J54" s="186" t="s">
        <v>263</v>
      </c>
      <c r="K54" s="187" t="s">
        <v>264</v>
      </c>
      <c r="L54" s="187"/>
      <c r="M54" s="189" t="s">
        <v>139</v>
      </c>
    </row>
    <row r="55" spans="2:13">
      <c r="B55" s="67">
        <v>39</v>
      </c>
      <c r="C55" s="72" t="s">
        <v>73</v>
      </c>
      <c r="D55" s="186" t="s">
        <v>244</v>
      </c>
      <c r="E55" s="187"/>
      <c r="F55" s="187"/>
      <c r="G55" s="185" t="s">
        <v>139</v>
      </c>
      <c r="I55" s="72" t="s">
        <v>293</v>
      </c>
      <c r="J55" s="186" t="s">
        <v>296</v>
      </c>
      <c r="K55" s="187"/>
      <c r="L55" s="187"/>
      <c r="M55" s="185" t="s">
        <v>22</v>
      </c>
    </row>
    <row r="56" spans="2:13">
      <c r="B56" s="67">
        <v>40</v>
      </c>
      <c r="C56" s="72" t="s">
        <v>75</v>
      </c>
      <c r="D56" s="186" t="s">
        <v>244</v>
      </c>
      <c r="E56" s="187"/>
      <c r="F56" s="187"/>
      <c r="G56" s="185" t="s">
        <v>139</v>
      </c>
      <c r="I56" s="72" t="s">
        <v>293</v>
      </c>
      <c r="J56" s="186" t="s">
        <v>296</v>
      </c>
      <c r="K56" s="187"/>
      <c r="L56" s="187"/>
      <c r="M56" s="185" t="s">
        <v>22</v>
      </c>
    </row>
    <row r="57" spans="2:13">
      <c r="B57" s="67">
        <v>41</v>
      </c>
      <c r="C57" s="72" t="s">
        <v>176</v>
      </c>
      <c r="D57" s="186" t="s">
        <v>244</v>
      </c>
      <c r="E57" s="187" t="s">
        <v>262</v>
      </c>
      <c r="F57" s="187"/>
      <c r="G57" s="189" t="s">
        <v>139</v>
      </c>
      <c r="I57" s="72" t="s">
        <v>188</v>
      </c>
      <c r="J57" s="186" t="s">
        <v>261</v>
      </c>
      <c r="K57" s="187" t="s">
        <v>262</v>
      </c>
      <c r="L57" s="187"/>
      <c r="M57" s="189" t="s">
        <v>139</v>
      </c>
    </row>
    <row r="58" spans="2:13">
      <c r="B58" s="67">
        <v>42</v>
      </c>
      <c r="C58" s="72" t="s">
        <v>74</v>
      </c>
      <c r="D58" s="186" t="s">
        <v>244</v>
      </c>
      <c r="E58" s="187"/>
      <c r="F58" s="187"/>
      <c r="G58" s="185" t="s">
        <v>139</v>
      </c>
      <c r="I58" s="72" t="s">
        <v>293</v>
      </c>
      <c r="J58" s="186" t="s">
        <v>296</v>
      </c>
      <c r="K58" s="187"/>
      <c r="L58" s="187"/>
      <c r="M58" s="185" t="s">
        <v>22</v>
      </c>
    </row>
    <row r="59" spans="2:13">
      <c r="B59" s="67">
        <v>43</v>
      </c>
      <c r="C59" s="72" t="s">
        <v>71</v>
      </c>
      <c r="D59" s="186" t="s">
        <v>244</v>
      </c>
      <c r="E59" s="187"/>
      <c r="F59" s="187"/>
      <c r="G59" s="185" t="s">
        <v>139</v>
      </c>
      <c r="I59" s="72" t="s">
        <v>293</v>
      </c>
      <c r="J59" s="186" t="s">
        <v>296</v>
      </c>
      <c r="K59" s="187"/>
      <c r="L59" s="187"/>
      <c r="M59" s="185" t="s">
        <v>22</v>
      </c>
    </row>
    <row r="60" spans="2:13">
      <c r="B60" s="67">
        <v>44</v>
      </c>
      <c r="C60" s="72" t="s">
        <v>68</v>
      </c>
      <c r="D60" s="186" t="s">
        <v>244</v>
      </c>
      <c r="E60" s="187"/>
      <c r="F60" s="187"/>
      <c r="G60" s="185" t="s">
        <v>139</v>
      </c>
      <c r="I60" s="72" t="s">
        <v>293</v>
      </c>
      <c r="J60" s="186" t="s">
        <v>296</v>
      </c>
      <c r="K60" s="187"/>
      <c r="L60" s="187"/>
      <c r="M60" s="185" t="s">
        <v>22</v>
      </c>
    </row>
    <row r="61" spans="2:13">
      <c r="B61" s="67">
        <v>45</v>
      </c>
      <c r="C61" s="72" t="s">
        <v>177</v>
      </c>
      <c r="D61" s="186" t="s">
        <v>257</v>
      </c>
      <c r="E61" s="187"/>
      <c r="F61" s="187" t="s">
        <v>304</v>
      </c>
      <c r="G61" s="188" t="s">
        <v>286</v>
      </c>
      <c r="I61" s="190"/>
      <c r="J61" s="191"/>
      <c r="K61" s="192"/>
      <c r="L61" s="192"/>
      <c r="M61" s="193"/>
    </row>
    <row r="62" spans="2:13" ht="14.5" thickBot="1">
      <c r="B62" s="67">
        <v>46</v>
      </c>
      <c r="C62" s="74" t="s">
        <v>178</v>
      </c>
      <c r="D62" s="194" t="s">
        <v>257</v>
      </c>
      <c r="E62" s="195"/>
      <c r="F62" s="195" t="s">
        <v>305</v>
      </c>
      <c r="G62" s="196" t="s">
        <v>284</v>
      </c>
      <c r="I62" s="74" t="s">
        <v>306</v>
      </c>
      <c r="J62" s="194" t="s">
        <v>257</v>
      </c>
      <c r="K62" s="195"/>
      <c r="L62" s="195" t="s">
        <v>305</v>
      </c>
      <c r="M62" s="196" t="s">
        <v>286</v>
      </c>
    </row>
    <row r="64" spans="2:13" ht="14.5" thickBot="1">
      <c r="B64" s="396" t="s">
        <v>307</v>
      </c>
      <c r="C64" s="396"/>
      <c r="D64" s="396"/>
      <c r="E64" s="396"/>
      <c r="F64" s="396"/>
      <c r="G64" s="396"/>
      <c r="H64" s="396"/>
    </row>
    <row r="65" spans="2:7">
      <c r="B65" s="59">
        <v>47</v>
      </c>
      <c r="C65" s="75" t="s">
        <v>179</v>
      </c>
      <c r="D65" s="197" t="s">
        <v>266</v>
      </c>
      <c r="E65" s="198"/>
      <c r="F65" s="198"/>
      <c r="G65" s="199" t="s">
        <v>139</v>
      </c>
    </row>
    <row r="66" spans="2:7">
      <c r="B66" s="59">
        <v>48</v>
      </c>
      <c r="C66" s="75" t="s">
        <v>180</v>
      </c>
      <c r="D66" s="197" t="s">
        <v>265</v>
      </c>
      <c r="E66" s="198"/>
      <c r="F66" s="198"/>
      <c r="G66" s="199" t="s">
        <v>139</v>
      </c>
    </row>
    <row r="67" spans="2:7">
      <c r="B67" s="59">
        <v>49</v>
      </c>
      <c r="C67" s="75" t="s">
        <v>181</v>
      </c>
      <c r="D67" s="197" t="s">
        <v>261</v>
      </c>
      <c r="E67" s="198" t="s">
        <v>262</v>
      </c>
      <c r="F67" s="198"/>
      <c r="G67" s="200" t="s">
        <v>139</v>
      </c>
    </row>
    <row r="68" spans="2:7">
      <c r="B68" s="59">
        <v>50</v>
      </c>
      <c r="C68" s="75" t="s">
        <v>182</v>
      </c>
      <c r="D68" s="197" t="s">
        <v>263</v>
      </c>
      <c r="E68" s="198" t="s">
        <v>264</v>
      </c>
      <c r="F68" s="198"/>
      <c r="G68" s="200" t="s">
        <v>139</v>
      </c>
    </row>
    <row r="69" spans="2:7">
      <c r="B69" s="59">
        <v>51</v>
      </c>
      <c r="C69" s="75" t="s">
        <v>183</v>
      </c>
      <c r="D69" s="197" t="s">
        <v>257</v>
      </c>
      <c r="E69" s="198"/>
      <c r="F69" s="198" t="s">
        <v>308</v>
      </c>
      <c r="G69" s="201" t="s">
        <v>286</v>
      </c>
    </row>
    <row r="70" spans="2:7">
      <c r="B70" s="59">
        <v>52</v>
      </c>
      <c r="C70" s="76" t="s">
        <v>184</v>
      </c>
      <c r="D70" s="197" t="s">
        <v>257</v>
      </c>
      <c r="E70" s="198"/>
      <c r="F70" s="198" t="s">
        <v>309</v>
      </c>
      <c r="G70" s="201" t="s">
        <v>286</v>
      </c>
    </row>
    <row r="71" spans="2:7" ht="14.5" thickBot="1">
      <c r="B71" s="59">
        <v>53</v>
      </c>
      <c r="C71" s="77" t="s">
        <v>185</v>
      </c>
      <c r="D71" s="202" t="s">
        <v>257</v>
      </c>
      <c r="E71" s="203"/>
      <c r="F71" s="203"/>
      <c r="G71" s="204" t="s">
        <v>139</v>
      </c>
    </row>
    <row r="73" spans="2:7" ht="15" thickBot="1">
      <c r="B73" s="398" t="s">
        <v>268</v>
      </c>
      <c r="C73" s="398"/>
      <c r="D73" s="398"/>
    </row>
    <row r="74" spans="2:7" ht="14.5" thickBot="1">
      <c r="B74" s="95" t="s">
        <v>237</v>
      </c>
      <c r="C74" s="399" t="s">
        <v>269</v>
      </c>
      <c r="D74" s="400"/>
    </row>
    <row r="75" spans="2:7">
      <c r="B75" s="145" t="s">
        <v>270</v>
      </c>
      <c r="C75" s="401" t="s">
        <v>22</v>
      </c>
      <c r="D75" s="402"/>
    </row>
    <row r="76" spans="2:7">
      <c r="B76" s="131">
        <v>54</v>
      </c>
      <c r="C76" s="392" t="s">
        <v>271</v>
      </c>
      <c r="D76" s="393"/>
    </row>
    <row r="77" spans="2:7">
      <c r="B77" s="131">
        <v>55</v>
      </c>
      <c r="C77" s="390" t="s">
        <v>22</v>
      </c>
      <c r="D77" s="391"/>
    </row>
    <row r="78" spans="2:7">
      <c r="B78" s="131">
        <v>56</v>
      </c>
      <c r="C78" s="392" t="s">
        <v>272</v>
      </c>
      <c r="D78" s="393"/>
    </row>
    <row r="79" spans="2:7">
      <c r="B79" s="131">
        <v>57</v>
      </c>
      <c r="C79" s="390" t="s">
        <v>147</v>
      </c>
      <c r="D79" s="391"/>
    </row>
    <row r="80" spans="2:7">
      <c r="B80" s="131">
        <v>58</v>
      </c>
      <c r="C80" s="392" t="s">
        <v>273</v>
      </c>
      <c r="D80" s="393"/>
    </row>
    <row r="81" spans="2:9">
      <c r="B81" s="131">
        <v>59</v>
      </c>
      <c r="C81" s="390" t="s">
        <v>143</v>
      </c>
      <c r="D81" s="391"/>
    </row>
    <row r="82" spans="2:9">
      <c r="B82" s="131">
        <v>60</v>
      </c>
      <c r="C82" s="392" t="s">
        <v>274</v>
      </c>
      <c r="D82" s="393"/>
    </row>
    <row r="83" spans="2:9" ht="14.5" thickBot="1">
      <c r="B83" s="131">
        <v>61</v>
      </c>
      <c r="C83" s="394" t="s">
        <v>141</v>
      </c>
      <c r="D83" s="395"/>
    </row>
    <row r="84" spans="2:9">
      <c r="B84" s="131">
        <v>62</v>
      </c>
      <c r="C84" s="392" t="s">
        <v>271</v>
      </c>
      <c r="D84" s="393"/>
    </row>
    <row r="85" spans="2:9">
      <c r="B85" s="131">
        <v>63</v>
      </c>
      <c r="C85" s="390" t="s">
        <v>22</v>
      </c>
      <c r="D85" s="391"/>
    </row>
    <row r="86" spans="2:9" ht="14.5" thickBot="1">
      <c r="B86" s="131">
        <v>64</v>
      </c>
      <c r="C86" s="392" t="s">
        <v>271</v>
      </c>
      <c r="D86" s="393"/>
    </row>
    <row r="87" spans="2:9" ht="14.5" thickBot="1">
      <c r="C87" s="383" t="s">
        <v>310</v>
      </c>
      <c r="D87" s="384"/>
      <c r="E87" s="383" t="s">
        <v>311</v>
      </c>
      <c r="F87" s="384"/>
      <c r="G87" s="385" t="s">
        <v>312</v>
      </c>
    </row>
    <row r="88" spans="2:9" ht="14.5" thickBot="1">
      <c r="C88" s="205">
        <v>1</v>
      </c>
      <c r="D88" s="206">
        <v>0</v>
      </c>
      <c r="E88" s="206">
        <v>1</v>
      </c>
      <c r="F88" s="206">
        <v>0</v>
      </c>
      <c r="G88" s="386"/>
    </row>
    <row r="89" spans="2:9" ht="14.5" thickBot="1">
      <c r="C89" s="207" t="s">
        <v>313</v>
      </c>
      <c r="D89" s="208" t="s">
        <v>314</v>
      </c>
      <c r="E89" s="208" t="s">
        <v>313</v>
      </c>
      <c r="F89" s="208" t="s">
        <v>314</v>
      </c>
      <c r="G89" s="208" t="s">
        <v>315</v>
      </c>
    </row>
    <row r="90" spans="2:9" ht="14.5" thickBot="1">
      <c r="C90" s="207" t="s">
        <v>313</v>
      </c>
      <c r="D90" s="208" t="s">
        <v>316</v>
      </c>
      <c r="E90" s="208" t="s">
        <v>313</v>
      </c>
      <c r="F90" s="208" t="s">
        <v>316</v>
      </c>
      <c r="G90" s="208" t="s">
        <v>317</v>
      </c>
    </row>
    <row r="91" spans="2:9" ht="14.5" thickBot="1">
      <c r="C91" s="207" t="s">
        <v>318</v>
      </c>
      <c r="D91" s="208" t="s">
        <v>314</v>
      </c>
      <c r="E91" s="208" t="s">
        <v>314</v>
      </c>
      <c r="F91" s="208" t="s">
        <v>318</v>
      </c>
      <c r="G91" s="208" t="s">
        <v>319</v>
      </c>
    </row>
    <row r="92" spans="2:9" ht="14.5" thickBot="1">
      <c r="C92" s="207" t="s">
        <v>318</v>
      </c>
      <c r="D92" s="208" t="s">
        <v>316</v>
      </c>
      <c r="E92" s="208" t="s">
        <v>318</v>
      </c>
      <c r="F92" s="208" t="s">
        <v>316</v>
      </c>
      <c r="G92" s="208" t="s">
        <v>320</v>
      </c>
    </row>
    <row r="93" spans="2:9" ht="15.5">
      <c r="C93" s="209"/>
    </row>
    <row r="94" spans="2:9" ht="39.5" thickBot="1">
      <c r="F94" s="210" t="s">
        <v>321</v>
      </c>
    </row>
    <row r="95" spans="2:9" ht="15" customHeight="1" thickBot="1">
      <c r="C95" s="387" t="s">
        <v>310</v>
      </c>
      <c r="D95" s="388"/>
      <c r="E95" s="389"/>
      <c r="F95" s="387" t="s">
        <v>311</v>
      </c>
      <c r="G95" s="388"/>
      <c r="H95" s="389"/>
      <c r="I95" s="385" t="s">
        <v>312</v>
      </c>
    </row>
    <row r="96" spans="2:9" ht="14.5" thickBot="1">
      <c r="C96" s="211">
        <v>2</v>
      </c>
      <c r="D96" s="212">
        <v>1</v>
      </c>
      <c r="E96" s="212">
        <v>0</v>
      </c>
      <c r="F96" s="212">
        <v>2</v>
      </c>
      <c r="G96" s="212">
        <v>1</v>
      </c>
      <c r="H96" s="212">
        <v>0</v>
      </c>
      <c r="I96" s="386"/>
    </row>
    <row r="97" spans="1:9" ht="14.5" thickBot="1">
      <c r="A97" s="94">
        <v>1</v>
      </c>
      <c r="C97" s="207" t="s">
        <v>322</v>
      </c>
      <c r="D97" s="208" t="s">
        <v>313</v>
      </c>
      <c r="E97" s="208" t="s">
        <v>314</v>
      </c>
      <c r="F97" s="208" t="s">
        <v>322</v>
      </c>
      <c r="G97" s="208" t="s">
        <v>313</v>
      </c>
      <c r="H97" s="208" t="s">
        <v>314</v>
      </c>
      <c r="I97" s="208" t="s">
        <v>315</v>
      </c>
    </row>
    <row r="98" spans="1:9" ht="14.5" thickBot="1">
      <c r="A98" s="94">
        <v>2</v>
      </c>
      <c r="B98" s="382"/>
      <c r="C98" s="213" t="s">
        <v>322</v>
      </c>
      <c r="D98" s="214" t="s">
        <v>313</v>
      </c>
      <c r="E98" s="214" t="s">
        <v>316</v>
      </c>
      <c r="F98" s="214" t="s">
        <v>322</v>
      </c>
      <c r="G98" s="214" t="s">
        <v>313</v>
      </c>
      <c r="H98" s="214" t="s">
        <v>316</v>
      </c>
      <c r="I98" s="208" t="s">
        <v>317</v>
      </c>
    </row>
    <row r="99" spans="1:9" ht="14.5" thickBot="1">
      <c r="A99" s="94">
        <v>3</v>
      </c>
      <c r="B99" s="382"/>
      <c r="C99" s="213" t="s">
        <v>322</v>
      </c>
      <c r="D99" s="214" t="s">
        <v>318</v>
      </c>
      <c r="E99" s="214" t="s">
        <v>314</v>
      </c>
      <c r="F99" s="214" t="s">
        <v>322</v>
      </c>
      <c r="G99" s="214" t="s">
        <v>314</v>
      </c>
      <c r="H99" s="214" t="s">
        <v>318</v>
      </c>
      <c r="I99" s="208" t="s">
        <v>319</v>
      </c>
    </row>
    <row r="100" spans="1:9" ht="14.5" thickBot="1">
      <c r="A100" s="94">
        <v>4</v>
      </c>
      <c r="B100" s="94" t="s">
        <v>275</v>
      </c>
      <c r="C100" s="215" t="s">
        <v>323</v>
      </c>
      <c r="D100" s="216" t="s">
        <v>318</v>
      </c>
      <c r="E100" s="216" t="s">
        <v>316</v>
      </c>
      <c r="F100" s="216" t="s">
        <v>322</v>
      </c>
      <c r="G100" s="216" t="s">
        <v>318</v>
      </c>
      <c r="H100" s="216" t="s">
        <v>316</v>
      </c>
      <c r="I100" s="216" t="s">
        <v>320</v>
      </c>
    </row>
    <row r="101" spans="1:9" ht="14.5" thickBot="1">
      <c r="A101" s="94">
        <v>5</v>
      </c>
      <c r="C101" s="207" t="s">
        <v>324</v>
      </c>
      <c r="D101" s="208" t="s">
        <v>313</v>
      </c>
      <c r="E101" s="208" t="s">
        <v>314</v>
      </c>
      <c r="F101" s="208" t="s">
        <v>313</v>
      </c>
      <c r="G101" s="208" t="s">
        <v>314</v>
      </c>
      <c r="H101" s="208" t="s">
        <v>324</v>
      </c>
      <c r="I101" s="208">
        <v>-100</v>
      </c>
    </row>
    <row r="102" spans="1:9" ht="14.5" thickBot="1">
      <c r="A102" s="94">
        <v>6</v>
      </c>
      <c r="C102" s="215" t="s">
        <v>324</v>
      </c>
      <c r="D102" s="216" t="s">
        <v>325</v>
      </c>
      <c r="E102" s="216" t="s">
        <v>316</v>
      </c>
      <c r="F102" s="216" t="s">
        <v>313</v>
      </c>
      <c r="G102" s="216" t="s">
        <v>324</v>
      </c>
      <c r="H102" s="216" t="s">
        <v>316</v>
      </c>
      <c r="I102" s="216">
        <v>-101</v>
      </c>
    </row>
    <row r="103" spans="1:9" ht="14.5" thickBot="1">
      <c r="A103" s="94">
        <v>7</v>
      </c>
      <c r="B103" s="94" t="s">
        <v>275</v>
      </c>
      <c r="C103" s="215" t="s">
        <v>324</v>
      </c>
      <c r="D103" s="216" t="s">
        <v>318</v>
      </c>
      <c r="E103" s="216" t="s">
        <v>314</v>
      </c>
      <c r="F103" s="216" t="s">
        <v>314</v>
      </c>
      <c r="G103" s="216" t="s">
        <v>324</v>
      </c>
      <c r="H103" s="216" t="s">
        <v>318</v>
      </c>
      <c r="I103" s="216">
        <v>-110</v>
      </c>
    </row>
    <row r="104" spans="1:9" ht="14.5" thickBot="1">
      <c r="C104" s="217" t="s">
        <v>326</v>
      </c>
      <c r="D104" s="217" t="s">
        <v>327</v>
      </c>
      <c r="E104" s="217" t="s">
        <v>328</v>
      </c>
      <c r="F104" s="217" t="s">
        <v>326</v>
      </c>
      <c r="G104" s="217" t="s">
        <v>327</v>
      </c>
      <c r="H104" s="217" t="s">
        <v>328</v>
      </c>
      <c r="I104" s="217">
        <v>-111</v>
      </c>
    </row>
  </sheetData>
  <mergeCells count="31">
    <mergeCell ref="C20:G20"/>
    <mergeCell ref="B4:G4"/>
    <mergeCell ref="B9:G9"/>
    <mergeCell ref="B12:G12"/>
    <mergeCell ref="B15:G15"/>
    <mergeCell ref="B18:G18"/>
    <mergeCell ref="C80:D80"/>
    <mergeCell ref="B21:G21"/>
    <mergeCell ref="B29:G29"/>
    <mergeCell ref="B46:G46"/>
    <mergeCell ref="B64:H64"/>
    <mergeCell ref="B73:D73"/>
    <mergeCell ref="C74:D74"/>
    <mergeCell ref="C75:D75"/>
    <mergeCell ref="C76:D76"/>
    <mergeCell ref="C77:D77"/>
    <mergeCell ref="C78:D78"/>
    <mergeCell ref="C79:D79"/>
    <mergeCell ref="I95:I96"/>
    <mergeCell ref="C81:D81"/>
    <mergeCell ref="C82:D82"/>
    <mergeCell ref="C83:D83"/>
    <mergeCell ref="C84:D84"/>
    <mergeCell ref="C85:D85"/>
    <mergeCell ref="C86:D86"/>
    <mergeCell ref="B98:B99"/>
    <mergeCell ref="C87:D87"/>
    <mergeCell ref="E87:F87"/>
    <mergeCell ref="G87:G88"/>
    <mergeCell ref="C95:E95"/>
    <mergeCell ref="F95:H95"/>
  </mergeCells>
  <phoneticPr fontId="1" type="noConversion"/>
  <conditionalFormatting sqref="G69">
    <cfRule type="expression" dxfId="1" priority="2" stopIfTrue="1">
      <formula>#REF!&lt;&gt;"n.u."</formula>
    </cfRule>
  </conditionalFormatting>
  <conditionalFormatting sqref="G70">
    <cfRule type="expression" dxfId="0" priority="1" stopIfTrue="1">
      <formula>$I$38&lt;&gt;"n.u."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4BF6-791B-4454-942E-E2567D959675}">
  <dimension ref="A1:H48"/>
  <sheetViews>
    <sheetView workbookViewId="0">
      <selection activeCell="B27" sqref="B27:B29"/>
    </sheetView>
  </sheetViews>
  <sheetFormatPr defaultColWidth="9" defaultRowHeight="14"/>
  <cols>
    <col min="1" max="1" width="9" style="94"/>
    <col min="2" max="2" width="16.6328125" style="94" customWidth="1"/>
    <col min="3" max="3" width="14.453125" style="94" customWidth="1"/>
    <col min="4" max="4" width="9" style="94"/>
    <col min="5" max="5" width="17.81640625" style="94" customWidth="1"/>
    <col min="6" max="6" width="16.6328125" style="94" customWidth="1"/>
    <col min="7" max="7" width="9" style="94"/>
    <col min="8" max="8" width="38.08984375" style="94" customWidth="1"/>
    <col min="9" max="16384" width="9" style="94"/>
  </cols>
  <sheetData>
    <row r="1" spans="1:8" ht="14.5" thickBot="1">
      <c r="A1" s="412" t="s">
        <v>236</v>
      </c>
      <c r="B1" s="412"/>
      <c r="C1" s="412"/>
      <c r="D1" s="412"/>
      <c r="E1" s="412"/>
      <c r="F1" s="412"/>
      <c r="G1" s="412"/>
    </row>
    <row r="2" spans="1:8" ht="14.5" thickBot="1">
      <c r="A2" s="95" t="s">
        <v>237</v>
      </c>
      <c r="B2" s="399" t="s">
        <v>238</v>
      </c>
      <c r="C2" s="406"/>
      <c r="D2" s="98" t="s">
        <v>239</v>
      </c>
      <c r="E2" s="98" t="s">
        <v>240</v>
      </c>
      <c r="F2" s="96" t="s">
        <v>241</v>
      </c>
      <c r="G2" s="99" t="s">
        <v>242</v>
      </c>
      <c r="H2" s="100" t="s">
        <v>243</v>
      </c>
    </row>
    <row r="3" spans="1:8" ht="14.5" thickBot="1">
      <c r="A3" s="101">
        <v>1</v>
      </c>
      <c r="B3" s="407" t="s">
        <v>33</v>
      </c>
      <c r="C3" s="408"/>
      <c r="D3" s="102" t="s">
        <v>244</v>
      </c>
      <c r="E3" s="102"/>
      <c r="F3" s="103"/>
      <c r="G3" s="104" t="s">
        <v>139</v>
      </c>
      <c r="H3" s="94" t="s">
        <v>245</v>
      </c>
    </row>
    <row r="4" spans="1:8" ht="126.5" thickBot="1">
      <c r="A4" s="101">
        <v>2</v>
      </c>
      <c r="B4" s="413" t="s">
        <v>140</v>
      </c>
      <c r="C4" s="414"/>
      <c r="D4" s="105" t="s">
        <v>246</v>
      </c>
      <c r="E4" s="105" t="s">
        <v>247</v>
      </c>
      <c r="F4" s="106"/>
      <c r="G4" s="107" t="s">
        <v>248</v>
      </c>
      <c r="H4" s="218" t="s">
        <v>249</v>
      </c>
    </row>
    <row r="5" spans="1:8" ht="15" thickBot="1">
      <c r="A5" s="108">
        <v>3</v>
      </c>
      <c r="B5" s="415" t="s">
        <v>0</v>
      </c>
      <c r="C5" s="416"/>
      <c r="D5" s="109" t="s">
        <v>244</v>
      </c>
      <c r="E5" s="109" t="s">
        <v>250</v>
      </c>
      <c r="F5" s="110"/>
      <c r="G5" s="111" t="s">
        <v>22</v>
      </c>
      <c r="H5" s="51"/>
    </row>
    <row r="6" spans="1:8">
      <c r="A6" s="52"/>
      <c r="B6" s="52"/>
      <c r="C6" s="52"/>
      <c r="D6" s="51"/>
      <c r="E6" s="52"/>
      <c r="F6" s="51"/>
      <c r="G6" s="51"/>
    </row>
    <row r="7" spans="1:8" ht="15" thickBot="1">
      <c r="A7" s="411" t="s">
        <v>251</v>
      </c>
      <c r="B7" s="411"/>
      <c r="C7" s="411"/>
      <c r="D7" s="411"/>
      <c r="E7" s="411"/>
      <c r="F7" s="411"/>
      <c r="G7" s="411"/>
      <c r="H7" s="51"/>
    </row>
    <row r="8" spans="1:8" ht="14.5" thickBot="1">
      <c r="A8" s="95" t="s">
        <v>237</v>
      </c>
      <c r="B8" s="399" t="s">
        <v>238</v>
      </c>
      <c r="C8" s="406"/>
      <c r="D8" s="98" t="s">
        <v>239</v>
      </c>
      <c r="E8" s="98" t="s">
        <v>240</v>
      </c>
      <c r="F8" s="96" t="s">
        <v>241</v>
      </c>
      <c r="G8" s="99" t="s">
        <v>242</v>
      </c>
      <c r="H8" s="51"/>
    </row>
    <row r="9" spans="1:8">
      <c r="A9" s="101">
        <v>4</v>
      </c>
      <c r="B9" s="407" t="s">
        <v>144</v>
      </c>
      <c r="C9" s="408"/>
      <c r="D9" s="102" t="s">
        <v>246</v>
      </c>
      <c r="E9" s="102" t="s">
        <v>252</v>
      </c>
      <c r="F9" s="103"/>
      <c r="G9" s="104" t="s">
        <v>139</v>
      </c>
      <c r="H9" s="51"/>
    </row>
    <row r="10" spans="1:8" ht="14.5" thickBot="1">
      <c r="A10" s="112">
        <v>5</v>
      </c>
      <c r="B10" s="409" t="s">
        <v>142</v>
      </c>
      <c r="C10" s="410"/>
      <c r="D10" s="113" t="s">
        <v>246</v>
      </c>
      <c r="E10" s="113" t="s">
        <v>252</v>
      </c>
      <c r="F10" s="114"/>
      <c r="G10" s="115" t="s">
        <v>139</v>
      </c>
      <c r="H10" s="51"/>
    </row>
    <row r="11" spans="1:8">
      <c r="A11" s="52"/>
      <c r="B11" s="52"/>
      <c r="C11" s="52"/>
      <c r="D11" s="51"/>
      <c r="E11" s="52"/>
      <c r="F11" s="51"/>
      <c r="G11" s="51"/>
      <c r="H11" s="51"/>
    </row>
    <row r="12" spans="1:8" ht="15" thickBot="1">
      <c r="A12" s="411" t="s">
        <v>253</v>
      </c>
      <c r="B12" s="411"/>
      <c r="C12" s="411"/>
      <c r="D12" s="411"/>
      <c r="E12" s="411"/>
      <c r="F12" s="411"/>
      <c r="G12" s="411"/>
      <c r="H12" s="52"/>
    </row>
    <row r="13" spans="1:8" ht="14.5" thickBot="1">
      <c r="A13" s="95" t="s">
        <v>237</v>
      </c>
      <c r="B13" s="399" t="s">
        <v>238</v>
      </c>
      <c r="C13" s="406"/>
      <c r="D13" s="98" t="s">
        <v>239</v>
      </c>
      <c r="E13" s="98" t="s">
        <v>240</v>
      </c>
      <c r="F13" s="96" t="s">
        <v>241</v>
      </c>
      <c r="G13" s="99" t="s">
        <v>242</v>
      </c>
      <c r="H13" s="52"/>
    </row>
    <row r="14" spans="1:8">
      <c r="A14" s="101">
        <v>6</v>
      </c>
      <c r="B14" s="407" t="s">
        <v>157</v>
      </c>
      <c r="C14" s="408"/>
      <c r="D14" s="102" t="s">
        <v>244</v>
      </c>
      <c r="E14" s="102"/>
      <c r="F14" s="103"/>
      <c r="G14" s="116" t="s">
        <v>139</v>
      </c>
      <c r="H14" s="100"/>
    </row>
    <row r="15" spans="1:8" ht="15" thickBot="1">
      <c r="A15" s="112">
        <v>7</v>
      </c>
      <c r="B15" s="409" t="s">
        <v>158</v>
      </c>
      <c r="C15" s="410"/>
      <c r="D15" s="113" t="s">
        <v>244</v>
      </c>
      <c r="E15" s="113"/>
      <c r="F15" s="114"/>
      <c r="G15" s="117" t="s">
        <v>139</v>
      </c>
      <c r="H15" s="118"/>
    </row>
    <row r="16" spans="1:8">
      <c r="A16" s="52"/>
      <c r="B16" s="52"/>
      <c r="C16" s="52"/>
      <c r="D16" s="51"/>
      <c r="E16" s="52"/>
      <c r="F16" s="51"/>
      <c r="G16" s="51"/>
      <c r="H16" s="53"/>
    </row>
    <row r="17" spans="1:8" ht="15" thickBot="1">
      <c r="A17" s="411" t="s">
        <v>254</v>
      </c>
      <c r="B17" s="411"/>
      <c r="C17" s="411"/>
      <c r="D17" s="411"/>
      <c r="E17" s="411"/>
      <c r="F17" s="411"/>
      <c r="G17" s="411"/>
      <c r="H17" s="53"/>
    </row>
    <row r="18" spans="1:8" ht="14.5" thickBot="1">
      <c r="A18" s="95" t="s">
        <v>237</v>
      </c>
      <c r="B18" s="97" t="s">
        <v>238</v>
      </c>
      <c r="C18" s="97" t="s">
        <v>255</v>
      </c>
      <c r="D18" s="98" t="s">
        <v>239</v>
      </c>
      <c r="E18" s="98" t="s">
        <v>240</v>
      </c>
      <c r="F18" s="98" t="s">
        <v>241</v>
      </c>
      <c r="G18" s="99" t="s">
        <v>242</v>
      </c>
      <c r="H18" s="53"/>
    </row>
    <row r="19" spans="1:8" ht="15" thickBot="1">
      <c r="A19" s="119">
        <v>8</v>
      </c>
      <c r="B19" s="120" t="s">
        <v>145</v>
      </c>
      <c r="C19" s="121" t="s">
        <v>256</v>
      </c>
      <c r="D19" s="122" t="s">
        <v>257</v>
      </c>
      <c r="E19" s="122" t="s">
        <v>250</v>
      </c>
      <c r="F19" s="123" t="s">
        <v>258</v>
      </c>
      <c r="G19" s="124" t="s">
        <v>139</v>
      </c>
      <c r="H19" s="53"/>
    </row>
    <row r="20" spans="1:8" ht="14.5" thickBot="1">
      <c r="A20" s="125">
        <v>9</v>
      </c>
      <c r="B20" s="126" t="s">
        <v>186</v>
      </c>
      <c r="C20" s="127" t="s">
        <v>256</v>
      </c>
      <c r="D20" s="127" t="s">
        <v>257</v>
      </c>
      <c r="E20" s="127" t="s">
        <v>250</v>
      </c>
      <c r="F20" s="127" t="s">
        <v>259</v>
      </c>
      <c r="G20" s="128" t="s">
        <v>139</v>
      </c>
      <c r="H20" s="52"/>
    </row>
    <row r="21" spans="1:8">
      <c r="A21" s="125">
        <v>10</v>
      </c>
      <c r="B21" s="129" t="s">
        <v>187</v>
      </c>
      <c r="C21" s="130" t="s">
        <v>256</v>
      </c>
      <c r="D21" s="127" t="s">
        <v>257</v>
      </c>
      <c r="E21" s="130" t="s">
        <v>250</v>
      </c>
      <c r="F21" s="127" t="s">
        <v>260</v>
      </c>
      <c r="G21" s="128" t="s">
        <v>139</v>
      </c>
      <c r="H21" s="52"/>
    </row>
    <row r="22" spans="1:8">
      <c r="A22" s="52"/>
      <c r="B22" s="52"/>
      <c r="C22" s="52"/>
      <c r="D22" s="51"/>
      <c r="E22" s="52"/>
      <c r="F22" s="51"/>
      <c r="G22" s="51"/>
      <c r="H22" s="52"/>
    </row>
    <row r="23" spans="1:8">
      <c r="A23" s="131">
        <v>11</v>
      </c>
      <c r="B23" s="78" t="s">
        <v>188</v>
      </c>
      <c r="C23" s="78"/>
      <c r="D23" s="78" t="s">
        <v>261</v>
      </c>
      <c r="E23" s="78" t="s">
        <v>262</v>
      </c>
      <c r="F23" s="78"/>
      <c r="G23" s="78" t="s">
        <v>139</v>
      </c>
      <c r="H23" s="52"/>
    </row>
    <row r="24" spans="1:8">
      <c r="A24" s="131">
        <v>12</v>
      </c>
      <c r="B24" s="78" t="s">
        <v>189</v>
      </c>
      <c r="C24" s="78"/>
      <c r="D24" s="78" t="s">
        <v>263</v>
      </c>
      <c r="E24" s="78" t="s">
        <v>264</v>
      </c>
      <c r="F24" s="78"/>
      <c r="G24" s="78" t="s">
        <v>139</v>
      </c>
      <c r="H24" s="52"/>
    </row>
    <row r="25" spans="1:8">
      <c r="A25" s="131">
        <v>13</v>
      </c>
      <c r="B25" s="78" t="s">
        <v>190</v>
      </c>
      <c r="C25" s="78"/>
      <c r="D25" s="78" t="s">
        <v>265</v>
      </c>
      <c r="E25" s="78"/>
      <c r="F25" s="78"/>
      <c r="G25" s="78" t="s">
        <v>139</v>
      </c>
      <c r="H25" s="52"/>
    </row>
    <row r="26" spans="1:8">
      <c r="A26" s="131">
        <v>14</v>
      </c>
      <c r="B26" s="78" t="s">
        <v>191</v>
      </c>
      <c r="C26" s="78"/>
      <c r="D26" s="78" t="s">
        <v>266</v>
      </c>
      <c r="E26" s="78"/>
      <c r="F26" s="78"/>
      <c r="G26" s="78" t="s">
        <v>139</v>
      </c>
      <c r="H26" s="52"/>
    </row>
    <row r="27" spans="1:8">
      <c r="A27" s="131">
        <v>15</v>
      </c>
      <c r="B27" s="79" t="s">
        <v>192</v>
      </c>
      <c r="C27" s="132"/>
      <c r="D27" s="133" t="s">
        <v>261</v>
      </c>
      <c r="E27" s="134" t="s">
        <v>262</v>
      </c>
      <c r="F27" s="134"/>
      <c r="G27" s="135" t="s">
        <v>139</v>
      </c>
      <c r="H27" s="52"/>
    </row>
    <row r="28" spans="1:8">
      <c r="A28" s="131">
        <v>16</v>
      </c>
      <c r="B28" s="79" t="s">
        <v>193</v>
      </c>
      <c r="C28" s="132"/>
      <c r="D28" s="133" t="s">
        <v>263</v>
      </c>
      <c r="E28" s="134" t="s">
        <v>264</v>
      </c>
      <c r="F28" s="134"/>
      <c r="G28" s="135" t="s">
        <v>139</v>
      </c>
      <c r="H28" s="52"/>
    </row>
    <row r="29" spans="1:8">
      <c r="A29" s="131">
        <v>17</v>
      </c>
      <c r="B29" s="79" t="s">
        <v>194</v>
      </c>
      <c r="C29" s="132"/>
      <c r="D29" s="133" t="s">
        <v>265</v>
      </c>
      <c r="E29" s="134"/>
      <c r="F29" s="134"/>
      <c r="G29" s="135" t="s">
        <v>139</v>
      </c>
      <c r="H29" s="52"/>
    </row>
    <row r="30" spans="1:8" ht="14.5" thickBot="1">
      <c r="A30" s="131">
        <v>18</v>
      </c>
      <c r="B30" s="80" t="s">
        <v>195</v>
      </c>
      <c r="C30" s="136"/>
      <c r="D30" s="137" t="s">
        <v>266</v>
      </c>
      <c r="E30" s="138"/>
      <c r="F30" s="138"/>
      <c r="G30" s="139" t="s">
        <v>139</v>
      </c>
      <c r="H30" s="52"/>
    </row>
    <row r="31" spans="1:8" ht="14.5" thickBot="1">
      <c r="A31" s="52"/>
      <c r="B31" s="140"/>
      <c r="C31" s="52"/>
      <c r="D31" s="51"/>
      <c r="E31" s="52"/>
      <c r="F31" s="51"/>
      <c r="G31" s="51"/>
      <c r="H31" s="52"/>
    </row>
    <row r="32" spans="1:8" ht="14.5" thickBot="1">
      <c r="A32" s="141">
        <v>19</v>
      </c>
      <c r="B32" s="81" t="s">
        <v>152</v>
      </c>
      <c r="C32" s="81">
        <v>0</v>
      </c>
      <c r="D32" s="81" t="s">
        <v>244</v>
      </c>
      <c r="E32" s="81"/>
      <c r="F32" s="81"/>
      <c r="G32" s="81" t="s">
        <v>139</v>
      </c>
      <c r="H32" s="52"/>
    </row>
    <row r="33" spans="1:8" ht="14.5" thickBot="1">
      <c r="A33" s="141">
        <v>20</v>
      </c>
      <c r="B33" s="81" t="s">
        <v>151</v>
      </c>
      <c r="C33" s="81">
        <v>1</v>
      </c>
      <c r="D33" s="81" t="s">
        <v>244</v>
      </c>
      <c r="E33" s="81"/>
      <c r="F33" s="81"/>
      <c r="G33" s="81" t="s">
        <v>139</v>
      </c>
      <c r="H33" s="52"/>
    </row>
    <row r="34" spans="1:8" ht="14.5" thickBot="1">
      <c r="A34" s="141">
        <v>21</v>
      </c>
      <c r="B34" s="81" t="s">
        <v>150</v>
      </c>
      <c r="C34" s="81">
        <v>2</v>
      </c>
      <c r="D34" s="81" t="s">
        <v>244</v>
      </c>
      <c r="E34" s="81" t="s">
        <v>264</v>
      </c>
      <c r="F34" s="81"/>
      <c r="G34" s="81" t="s">
        <v>139</v>
      </c>
      <c r="H34" s="52"/>
    </row>
    <row r="35" spans="1:8" ht="14.5" thickBot="1">
      <c r="A35" s="141">
        <v>22</v>
      </c>
      <c r="B35" s="81" t="s">
        <v>149</v>
      </c>
      <c r="C35" s="81">
        <v>3</v>
      </c>
      <c r="D35" s="81" t="s">
        <v>257</v>
      </c>
      <c r="E35" s="81" t="s">
        <v>262</v>
      </c>
      <c r="F35" s="81"/>
      <c r="G35" s="81" t="s">
        <v>139</v>
      </c>
    </row>
    <row r="36" spans="1:8" ht="14.5" thickBot="1">
      <c r="A36" s="141">
        <v>23</v>
      </c>
      <c r="B36" s="81" t="s">
        <v>148</v>
      </c>
      <c r="C36" s="81">
        <v>4</v>
      </c>
      <c r="D36" s="81" t="s">
        <v>257</v>
      </c>
      <c r="E36" s="81"/>
      <c r="F36" s="81"/>
      <c r="G36" s="81" t="s">
        <v>139</v>
      </c>
    </row>
    <row r="37" spans="1:8">
      <c r="A37" s="142">
        <v>24</v>
      </c>
      <c r="B37" s="143" t="s">
        <v>160</v>
      </c>
      <c r="C37" s="143">
        <v>5</v>
      </c>
      <c r="D37" s="143" t="s">
        <v>257</v>
      </c>
      <c r="E37" s="143"/>
      <c r="F37" s="143"/>
      <c r="G37" s="143" t="s">
        <v>267</v>
      </c>
    </row>
    <row r="38" spans="1:8" ht="15" thickBot="1">
      <c r="A38" s="398" t="s">
        <v>268</v>
      </c>
      <c r="B38" s="398"/>
      <c r="C38" s="398"/>
      <c r="D38" s="51"/>
      <c r="E38" s="52"/>
      <c r="F38" s="52"/>
      <c r="G38" s="51"/>
    </row>
    <row r="39" spans="1:8" ht="14.5" thickBot="1">
      <c r="A39" s="95" t="s">
        <v>237</v>
      </c>
      <c r="B39" s="399" t="s">
        <v>269</v>
      </c>
      <c r="C39" s="400"/>
      <c r="D39" s="51"/>
      <c r="E39" s="144"/>
      <c r="F39" s="144"/>
      <c r="G39" s="51"/>
    </row>
    <row r="40" spans="1:8">
      <c r="A40" s="145" t="s">
        <v>270</v>
      </c>
      <c r="B40" s="401" t="s">
        <v>22</v>
      </c>
      <c r="C40" s="402"/>
      <c r="D40" s="51"/>
      <c r="E40" s="144"/>
      <c r="F40" s="144"/>
      <c r="G40" s="51"/>
    </row>
    <row r="41" spans="1:8">
      <c r="A41" s="131">
        <v>25</v>
      </c>
      <c r="B41" s="392" t="s">
        <v>271</v>
      </c>
      <c r="C41" s="393"/>
      <c r="D41" s="51"/>
      <c r="E41" s="144"/>
      <c r="F41" s="144"/>
      <c r="G41" s="51"/>
    </row>
    <row r="42" spans="1:8">
      <c r="A42" s="131">
        <v>26</v>
      </c>
      <c r="B42" s="390" t="s">
        <v>22</v>
      </c>
      <c r="C42" s="391"/>
      <c r="D42" s="51"/>
      <c r="E42" s="144"/>
      <c r="F42" s="144"/>
      <c r="G42" s="51"/>
    </row>
    <row r="43" spans="1:8">
      <c r="A43" s="131">
        <v>27</v>
      </c>
      <c r="B43" s="392" t="s">
        <v>272</v>
      </c>
      <c r="C43" s="393"/>
      <c r="D43" s="51"/>
      <c r="E43" s="144"/>
      <c r="F43" s="144"/>
      <c r="G43" s="51"/>
    </row>
    <row r="44" spans="1:8">
      <c r="A44" s="131">
        <v>28</v>
      </c>
      <c r="B44" s="390" t="s">
        <v>147</v>
      </c>
      <c r="C44" s="391"/>
      <c r="D44" s="51"/>
      <c r="E44" s="144"/>
      <c r="F44" s="144"/>
      <c r="G44" s="51"/>
    </row>
    <row r="45" spans="1:8">
      <c r="A45" s="131">
        <v>29</v>
      </c>
      <c r="B45" s="392" t="s">
        <v>273</v>
      </c>
      <c r="C45" s="393"/>
      <c r="D45" s="51"/>
      <c r="E45" s="144"/>
      <c r="F45" s="144"/>
      <c r="G45" s="51"/>
    </row>
    <row r="46" spans="1:8">
      <c r="A46" s="131">
        <v>30</v>
      </c>
      <c r="B46" s="390" t="s">
        <v>143</v>
      </c>
      <c r="C46" s="391"/>
      <c r="D46" s="51"/>
      <c r="E46" s="144"/>
      <c r="F46" s="144"/>
      <c r="G46" s="51"/>
    </row>
    <row r="47" spans="1:8">
      <c r="A47" s="131">
        <v>31</v>
      </c>
      <c r="B47" s="392" t="s">
        <v>274</v>
      </c>
      <c r="C47" s="393"/>
      <c r="D47" s="51"/>
      <c r="E47" s="144"/>
      <c r="F47" s="144"/>
      <c r="G47" s="51"/>
    </row>
    <row r="48" spans="1:8" ht="14.5" thickBot="1">
      <c r="A48" s="131">
        <v>32</v>
      </c>
      <c r="B48" s="394" t="s">
        <v>141</v>
      </c>
      <c r="C48" s="395"/>
      <c r="D48" s="51"/>
      <c r="E48" s="144"/>
      <c r="F48" s="144"/>
      <c r="G48" s="51"/>
    </row>
  </sheetData>
  <mergeCells count="25">
    <mergeCell ref="A7:G7"/>
    <mergeCell ref="A1:G1"/>
    <mergeCell ref="B2:C2"/>
    <mergeCell ref="B3:C3"/>
    <mergeCell ref="B4:C4"/>
    <mergeCell ref="B5:C5"/>
    <mergeCell ref="B41:C41"/>
    <mergeCell ref="B8:C8"/>
    <mergeCell ref="B9:C9"/>
    <mergeCell ref="B10:C10"/>
    <mergeCell ref="A12:G12"/>
    <mergeCell ref="B13:C13"/>
    <mergeCell ref="B14:C14"/>
    <mergeCell ref="B15:C15"/>
    <mergeCell ref="A17:G17"/>
    <mergeCell ref="A38:C38"/>
    <mergeCell ref="B39:C39"/>
    <mergeCell ref="B40:C40"/>
    <mergeCell ref="B48:C48"/>
    <mergeCell ref="B42:C42"/>
    <mergeCell ref="B43:C43"/>
    <mergeCell ref="B44:C44"/>
    <mergeCell ref="B45:C45"/>
    <mergeCell ref="B46:C46"/>
    <mergeCell ref="B47:C4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6175-17D8-4D9C-83A3-A742D0A22594}">
  <dimension ref="A1:AV52"/>
  <sheetViews>
    <sheetView tabSelected="1" topLeftCell="B6" zoomScale="55" zoomScaleNormal="55" workbookViewId="0">
      <selection activeCell="X8" sqref="X8"/>
    </sheetView>
  </sheetViews>
  <sheetFormatPr defaultRowHeight="14"/>
  <cols>
    <col min="1" max="1" width="16.36328125" customWidth="1"/>
    <col min="2" max="2" width="29.08984375" customWidth="1"/>
    <col min="3" max="3" width="3.54296875" customWidth="1"/>
    <col min="4" max="4" width="29.36328125" customWidth="1"/>
    <col min="5" max="5" width="4.08984375" customWidth="1"/>
    <col min="6" max="6" width="29.453125" customWidth="1"/>
    <col min="7" max="7" width="4.08984375" customWidth="1"/>
    <col min="8" max="8" width="38.36328125" customWidth="1"/>
    <col min="9" max="40" width="4.08984375" customWidth="1"/>
    <col min="41" max="41" width="23.453125" customWidth="1"/>
    <col min="42" max="42" width="4.08984375" customWidth="1"/>
    <col min="43" max="43" width="33.1796875" customWidth="1"/>
    <col min="44" max="44" width="4.08984375" customWidth="1"/>
    <col min="45" max="45" width="26.453125" customWidth="1"/>
    <col min="46" max="46" width="4.08984375" customWidth="1"/>
    <col min="47" max="47" width="19" customWidth="1"/>
    <col min="48" max="48" width="17.453125" customWidth="1"/>
  </cols>
  <sheetData>
    <row r="1" spans="2:47" ht="105" customHeight="1">
      <c r="W1" s="419" t="s">
        <v>437</v>
      </c>
      <c r="X1" s="420"/>
    </row>
    <row r="2" spans="2:47" ht="115.25" customHeight="1">
      <c r="B2" s="430" t="s">
        <v>406</v>
      </c>
      <c r="C2" s="430"/>
      <c r="D2" s="430"/>
      <c r="E2" s="430"/>
      <c r="F2" s="430"/>
      <c r="G2" s="430"/>
      <c r="H2" s="430"/>
      <c r="U2" s="262" t="s">
        <v>384</v>
      </c>
      <c r="V2" s="262" t="s">
        <v>383</v>
      </c>
      <c r="W2" s="263" t="s">
        <v>197</v>
      </c>
      <c r="X2" s="255" t="s">
        <v>196</v>
      </c>
      <c r="Y2" s="262" t="s">
        <v>381</v>
      </c>
      <c r="Z2" s="262" t="s">
        <v>380</v>
      </c>
      <c r="AA2" s="262" t="s">
        <v>378</v>
      </c>
      <c r="AB2" s="262" t="s">
        <v>377</v>
      </c>
      <c r="AO2" s="93" t="s">
        <v>234</v>
      </c>
    </row>
    <row r="3" spans="2:47" ht="14.5" thickBot="1">
      <c r="B3" s="431" t="s">
        <v>407</v>
      </c>
      <c r="C3" s="432"/>
      <c r="D3" s="432"/>
      <c r="E3" s="432"/>
      <c r="F3" s="432"/>
      <c r="G3" s="432"/>
      <c r="H3" s="432"/>
      <c r="U3">
        <v>32</v>
      </c>
      <c r="V3">
        <v>31</v>
      </c>
      <c r="W3">
        <v>30</v>
      </c>
      <c r="X3">
        <v>29</v>
      </c>
      <c r="Y3">
        <f>Z3+1</f>
        <v>28</v>
      </c>
      <c r="Z3">
        <v>27</v>
      </c>
      <c r="AA3">
        <v>26</v>
      </c>
      <c r="AB3">
        <v>25</v>
      </c>
    </row>
    <row r="4" spans="2:47" ht="154.75" customHeight="1" thickTop="1" thickBot="1">
      <c r="B4" s="432"/>
      <c r="C4" s="432"/>
      <c r="D4" s="432"/>
      <c r="E4" s="432"/>
      <c r="F4" s="432"/>
      <c r="G4" s="432"/>
      <c r="H4" s="432"/>
      <c r="O4" s="268" t="s">
        <v>389</v>
      </c>
      <c r="P4" s="268" t="s">
        <v>388</v>
      </c>
      <c r="Q4" s="269" t="s">
        <v>349</v>
      </c>
      <c r="R4" s="269" t="s">
        <v>397</v>
      </c>
      <c r="T4" s="291" t="s">
        <v>385</v>
      </c>
      <c r="U4" s="297" t="s">
        <v>335</v>
      </c>
      <c r="V4" s="297" t="s">
        <v>387</v>
      </c>
      <c r="W4" s="290" t="s">
        <v>197</v>
      </c>
      <c r="X4" s="255" t="s">
        <v>196</v>
      </c>
      <c r="Y4" s="291" t="s">
        <v>382</v>
      </c>
      <c r="Z4" s="297" t="s">
        <v>336</v>
      </c>
      <c r="AA4" s="298" t="s">
        <v>337</v>
      </c>
      <c r="AB4" s="292" t="s">
        <v>350</v>
      </c>
      <c r="AC4" s="425" t="s">
        <v>441</v>
      </c>
      <c r="AD4" s="422"/>
      <c r="AJ4" s="421" t="s">
        <v>434</v>
      </c>
      <c r="AK4" s="422"/>
      <c r="AO4" s="93" t="s">
        <v>409</v>
      </c>
    </row>
    <row r="5" spans="2:47" ht="14.5" thickTop="1">
      <c r="B5" s="432"/>
      <c r="C5" s="432"/>
      <c r="D5" s="432"/>
      <c r="E5" s="432"/>
      <c r="F5" s="432"/>
      <c r="G5" s="432"/>
      <c r="H5" s="432"/>
      <c r="O5">
        <v>48</v>
      </c>
      <c r="P5">
        <v>47</v>
      </c>
      <c r="Q5">
        <v>46</v>
      </c>
      <c r="R5">
        <v>45</v>
      </c>
      <c r="T5">
        <v>44</v>
      </c>
      <c r="U5">
        <v>43</v>
      </c>
      <c r="V5">
        <v>42</v>
      </c>
      <c r="W5">
        <v>41</v>
      </c>
      <c r="X5">
        <v>40</v>
      </c>
      <c r="Y5">
        <v>39</v>
      </c>
      <c r="Z5">
        <v>38</v>
      </c>
      <c r="AA5">
        <v>37</v>
      </c>
      <c r="AB5">
        <v>36</v>
      </c>
    </row>
    <row r="6" spans="2:47" ht="195.65" customHeight="1">
      <c r="B6" s="432"/>
      <c r="C6" s="432"/>
      <c r="D6" s="432"/>
      <c r="E6" s="432"/>
      <c r="F6" s="432"/>
      <c r="G6" s="432"/>
      <c r="H6" s="432"/>
      <c r="L6" s="421" t="s">
        <v>432</v>
      </c>
      <c r="M6" s="422"/>
      <c r="T6" s="253" t="s">
        <v>386</v>
      </c>
      <c r="U6" s="262" t="s">
        <v>384</v>
      </c>
      <c r="V6" s="262" t="s">
        <v>383</v>
      </c>
      <c r="Y6" s="262" t="s">
        <v>381</v>
      </c>
      <c r="Z6" s="262" t="s">
        <v>380</v>
      </c>
      <c r="AA6" s="262" t="s">
        <v>378</v>
      </c>
      <c r="AB6" s="262" t="s">
        <v>377</v>
      </c>
      <c r="AC6" s="255" t="s">
        <v>196</v>
      </c>
      <c r="AD6" s="263" t="s">
        <v>197</v>
      </c>
      <c r="AE6" s="264" t="s">
        <v>376</v>
      </c>
      <c r="AF6" s="264" t="s">
        <v>375</v>
      </c>
      <c r="AJ6" s="255" t="s">
        <v>196</v>
      </c>
      <c r="AK6" s="263" t="s">
        <v>197</v>
      </c>
      <c r="AL6" s="264" t="s">
        <v>370</v>
      </c>
      <c r="AM6" s="264" t="s">
        <v>371</v>
      </c>
      <c r="AO6" s="93" t="s">
        <v>235</v>
      </c>
    </row>
    <row r="7" spans="2:47" s="54" customFormat="1">
      <c r="T7">
        <v>64</v>
      </c>
      <c r="U7">
        <v>63</v>
      </c>
      <c r="V7">
        <v>62</v>
      </c>
      <c r="X7"/>
      <c r="Y7">
        <v>61</v>
      </c>
      <c r="Z7">
        <v>60</v>
      </c>
      <c r="AA7">
        <v>59</v>
      </c>
      <c r="AB7">
        <v>58</v>
      </c>
      <c r="AC7">
        <f>AD7+1</f>
        <v>57</v>
      </c>
      <c r="AD7">
        <f>AE7+1</f>
        <v>56</v>
      </c>
      <c r="AE7">
        <v>55</v>
      </c>
      <c r="AF7">
        <v>54</v>
      </c>
      <c r="AJ7">
        <v>53</v>
      </c>
      <c r="AK7">
        <v>52</v>
      </c>
      <c r="AL7">
        <v>51</v>
      </c>
      <c r="AM7">
        <v>50</v>
      </c>
    </row>
    <row r="8" spans="2:47" ht="196">
      <c r="B8" s="93" t="s">
        <v>234</v>
      </c>
      <c r="C8" s="92"/>
      <c r="D8" s="93" t="s">
        <v>410</v>
      </c>
      <c r="E8" s="92"/>
      <c r="F8" s="93" t="s">
        <v>235</v>
      </c>
      <c r="G8" s="92"/>
      <c r="H8" s="92">
        <v>128</v>
      </c>
      <c r="J8" s="281" t="s">
        <v>214</v>
      </c>
      <c r="K8" s="282" t="s">
        <v>215</v>
      </c>
      <c r="L8" s="255" t="s">
        <v>196</v>
      </c>
      <c r="M8" s="263" t="s">
        <v>197</v>
      </c>
      <c r="N8" s="282" t="s">
        <v>216</v>
      </c>
      <c r="O8" s="282" t="s">
        <v>217</v>
      </c>
      <c r="P8" s="282" t="s">
        <v>218</v>
      </c>
      <c r="Q8" s="282" t="s">
        <v>219</v>
      </c>
      <c r="R8" s="282" t="s">
        <v>220</v>
      </c>
      <c r="S8" s="282" t="s">
        <v>221</v>
      </c>
      <c r="T8" s="253" t="s">
        <v>386</v>
      </c>
      <c r="U8" s="262" t="s">
        <v>384</v>
      </c>
      <c r="V8" s="262" t="s">
        <v>383</v>
      </c>
      <c r="W8" s="263" t="s">
        <v>197</v>
      </c>
      <c r="X8" s="255" t="s">
        <v>196</v>
      </c>
      <c r="Y8" s="262" t="s">
        <v>381</v>
      </c>
      <c r="Z8" s="262" t="s">
        <v>380</v>
      </c>
      <c r="AA8" s="262" t="s">
        <v>378</v>
      </c>
      <c r="AB8" s="262" t="s">
        <v>377</v>
      </c>
      <c r="AC8" s="255" t="s">
        <v>196</v>
      </c>
      <c r="AD8" s="263" t="s">
        <v>197</v>
      </c>
      <c r="AE8" s="264" t="s">
        <v>376</v>
      </c>
      <c r="AF8" s="264" t="s">
        <v>375</v>
      </c>
      <c r="AG8" s="283" t="s">
        <v>374</v>
      </c>
      <c r="AH8" s="283" t="s">
        <v>373</v>
      </c>
      <c r="AI8" s="284" t="s">
        <v>372</v>
      </c>
      <c r="AJ8" s="255" t="s">
        <v>196</v>
      </c>
      <c r="AK8" s="263" t="s">
        <v>197</v>
      </c>
      <c r="AL8" s="264" t="s">
        <v>370</v>
      </c>
      <c r="AM8" s="264" t="s">
        <v>371</v>
      </c>
      <c r="AO8">
        <v>128</v>
      </c>
      <c r="AQ8" s="93" t="s">
        <v>235</v>
      </c>
      <c r="AS8" s="93" t="s">
        <v>408</v>
      </c>
      <c r="AU8" s="93" t="s">
        <v>234</v>
      </c>
    </row>
    <row r="9" spans="2:47">
      <c r="B9" s="286"/>
      <c r="G9" s="289"/>
      <c r="V9">
        <v>4</v>
      </c>
      <c r="W9">
        <v>3</v>
      </c>
      <c r="X9">
        <v>2</v>
      </c>
      <c r="Y9">
        <v>1</v>
      </c>
      <c r="Z9">
        <v>0</v>
      </c>
      <c r="AA9">
        <v>6</v>
      </c>
    </row>
    <row r="10" spans="2:47" ht="14.5" thickBot="1">
      <c r="B10" s="286"/>
      <c r="G10" s="289"/>
      <c r="J10">
        <f>K10+1</f>
        <v>122</v>
      </c>
      <c r="K10">
        <f>L10+1</f>
        <v>121</v>
      </c>
      <c r="L10">
        <f>M10+1</f>
        <v>120</v>
      </c>
      <c r="M10">
        <f t="shared" ref="M10:AK10" si="0">N10+1</f>
        <v>119</v>
      </c>
      <c r="N10">
        <f t="shared" si="0"/>
        <v>118</v>
      </c>
      <c r="O10">
        <f t="shared" si="0"/>
        <v>117</v>
      </c>
      <c r="P10">
        <f t="shared" si="0"/>
        <v>116</v>
      </c>
      <c r="Q10">
        <f t="shared" si="0"/>
        <v>115</v>
      </c>
      <c r="R10">
        <f t="shared" si="0"/>
        <v>114</v>
      </c>
      <c r="S10">
        <f t="shared" si="0"/>
        <v>113</v>
      </c>
      <c r="T10">
        <f t="shared" si="0"/>
        <v>112</v>
      </c>
      <c r="U10">
        <f t="shared" si="0"/>
        <v>111</v>
      </c>
      <c r="V10">
        <f t="shared" si="0"/>
        <v>110</v>
      </c>
      <c r="W10">
        <f t="shared" si="0"/>
        <v>109</v>
      </c>
      <c r="X10">
        <f t="shared" si="0"/>
        <v>108</v>
      </c>
      <c r="Y10">
        <f t="shared" si="0"/>
        <v>107</v>
      </c>
      <c r="Z10">
        <f t="shared" si="0"/>
        <v>106</v>
      </c>
      <c r="AA10">
        <f t="shared" si="0"/>
        <v>105</v>
      </c>
      <c r="AB10">
        <f t="shared" si="0"/>
        <v>104</v>
      </c>
      <c r="AC10">
        <f t="shared" si="0"/>
        <v>103</v>
      </c>
      <c r="AD10">
        <f t="shared" si="0"/>
        <v>102</v>
      </c>
      <c r="AE10">
        <f t="shared" si="0"/>
        <v>101</v>
      </c>
      <c r="AF10">
        <f t="shared" si="0"/>
        <v>100</v>
      </c>
      <c r="AG10">
        <f t="shared" si="0"/>
        <v>99</v>
      </c>
      <c r="AH10">
        <f t="shared" si="0"/>
        <v>98</v>
      </c>
      <c r="AI10">
        <f t="shared" si="0"/>
        <v>97</v>
      </c>
      <c r="AJ10">
        <f t="shared" si="0"/>
        <v>96</v>
      </c>
      <c r="AK10">
        <f t="shared" si="0"/>
        <v>95</v>
      </c>
      <c r="AL10">
        <f>AM10+1</f>
        <v>94</v>
      </c>
      <c r="AM10">
        <v>93</v>
      </c>
    </row>
    <row r="11" spans="2:47" ht="15" customHeight="1" thickTop="1" thickBot="1">
      <c r="B11" s="286"/>
      <c r="G11" s="289"/>
      <c r="H11" s="271" t="s">
        <v>226</v>
      </c>
      <c r="I11">
        <v>1</v>
      </c>
      <c r="AN11">
        <f t="shared" ref="AN11:AN39" si="1">AN12+1</f>
        <v>92</v>
      </c>
      <c r="AO11" s="304" t="s">
        <v>231</v>
      </c>
      <c r="AQ11" s="439" t="s">
        <v>443</v>
      </c>
    </row>
    <row r="12" spans="2:47" ht="15" customHeight="1" thickTop="1" thickBot="1">
      <c r="B12" s="286"/>
      <c r="D12" s="293" t="s">
        <v>399</v>
      </c>
      <c r="E12" s="289">
        <v>1</v>
      </c>
      <c r="G12" s="289"/>
      <c r="H12" s="272" t="s">
        <v>223</v>
      </c>
      <c r="I12">
        <v>2</v>
      </c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  <c r="V12" s="429"/>
      <c r="W12" s="429"/>
      <c r="X12" s="429"/>
      <c r="Y12" s="429"/>
      <c r="Z12" s="429"/>
      <c r="AA12" s="429"/>
      <c r="AB12" s="429"/>
      <c r="AC12" s="429"/>
      <c r="AD12" s="429"/>
      <c r="AE12" s="429"/>
      <c r="AF12" s="429"/>
      <c r="AG12" s="429"/>
      <c r="AH12" s="429"/>
      <c r="AI12" s="429"/>
      <c r="AJ12" s="429"/>
      <c r="AK12" s="429"/>
      <c r="AL12" s="429"/>
      <c r="AN12">
        <f t="shared" si="1"/>
        <v>91</v>
      </c>
      <c r="AO12" s="303" t="s">
        <v>196</v>
      </c>
      <c r="AQ12" s="421" t="s">
        <v>432</v>
      </c>
    </row>
    <row r="13" spans="2:47" ht="15" customHeight="1" thickTop="1" thickBot="1">
      <c r="B13" s="286"/>
      <c r="D13" s="294" t="s">
        <v>398</v>
      </c>
      <c r="E13" s="289">
        <v>2</v>
      </c>
      <c r="G13" s="289"/>
      <c r="H13" s="272" t="s">
        <v>222</v>
      </c>
      <c r="I13">
        <v>3</v>
      </c>
      <c r="K13" s="429"/>
      <c r="L13" s="429"/>
      <c r="M13" s="429"/>
      <c r="N13" s="429"/>
      <c r="O13" s="429"/>
      <c r="P13" s="429"/>
      <c r="Q13" s="429"/>
      <c r="R13" s="429"/>
      <c r="S13" s="429"/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429"/>
      <c r="AK13" s="429"/>
      <c r="AL13" s="429"/>
      <c r="AN13">
        <f t="shared" si="1"/>
        <v>90</v>
      </c>
      <c r="AO13" s="89" t="s">
        <v>197</v>
      </c>
      <c r="AQ13" s="421"/>
    </row>
    <row r="14" spans="2:47" ht="15" customHeight="1" thickTop="1" thickBot="1">
      <c r="B14" s="286"/>
      <c r="E14" s="289"/>
      <c r="G14" s="289"/>
      <c r="H14" s="271" t="s">
        <v>227</v>
      </c>
      <c r="I14">
        <v>4</v>
      </c>
      <c r="K14" s="429"/>
      <c r="L14" s="429"/>
      <c r="M14" s="429"/>
      <c r="N14" s="429"/>
      <c r="O14" s="429"/>
      <c r="P14" s="429"/>
      <c r="Q14" s="429"/>
      <c r="R14" s="429"/>
      <c r="S14" s="429"/>
      <c r="T14" s="429"/>
      <c r="U14" s="429"/>
      <c r="V14" s="429"/>
      <c r="W14" s="429"/>
      <c r="X14" s="429"/>
      <c r="Y14" s="429"/>
      <c r="Z14" s="429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N14">
        <f t="shared" si="1"/>
        <v>89</v>
      </c>
      <c r="AO14" s="86" t="s">
        <v>209</v>
      </c>
    </row>
    <row r="15" spans="2:47" ht="15" customHeight="1" thickBot="1">
      <c r="B15" s="286"/>
      <c r="D15" s="287"/>
      <c r="E15" s="289"/>
      <c r="F15" s="421" t="s">
        <v>435</v>
      </c>
      <c r="G15" s="289"/>
      <c r="H15" s="273" t="s">
        <v>196</v>
      </c>
      <c r="I15">
        <v>5</v>
      </c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N15">
        <f t="shared" si="1"/>
        <v>88</v>
      </c>
      <c r="AO15" s="86" t="s">
        <v>210</v>
      </c>
    </row>
    <row r="16" spans="2:47" ht="15" customHeight="1" thickBot="1">
      <c r="B16" s="286"/>
      <c r="D16" s="287"/>
      <c r="E16" s="289"/>
      <c r="F16" s="422"/>
      <c r="G16" s="289"/>
      <c r="H16" s="274" t="s">
        <v>197</v>
      </c>
      <c r="I16">
        <v>6</v>
      </c>
      <c r="K16" s="429"/>
      <c r="L16" s="429"/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/>
      <c r="AI16" s="429"/>
      <c r="AJ16" s="429"/>
      <c r="AK16" s="429"/>
      <c r="AL16" s="429"/>
      <c r="AN16">
        <f t="shared" si="1"/>
        <v>87</v>
      </c>
      <c r="AO16" s="86" t="s">
        <v>211</v>
      </c>
    </row>
    <row r="17" spans="1:48" ht="15" customHeight="1" thickTop="1" thickBot="1">
      <c r="B17" s="286"/>
      <c r="D17" s="295" t="s">
        <v>401</v>
      </c>
      <c r="E17" s="289">
        <v>3</v>
      </c>
      <c r="G17" s="289"/>
      <c r="H17" s="272" t="s">
        <v>224</v>
      </c>
      <c r="I17">
        <v>7</v>
      </c>
      <c r="K17" s="429"/>
      <c r="L17" s="429"/>
      <c r="M17" s="429"/>
      <c r="N17" s="429"/>
      <c r="O17" s="429"/>
      <c r="P17" s="429"/>
      <c r="Q17" s="429"/>
      <c r="R17" s="429"/>
      <c r="S17" s="429"/>
      <c r="T17" s="429"/>
      <c r="U17" s="429"/>
      <c r="V17" s="429"/>
      <c r="W17" s="429"/>
      <c r="X17" s="429"/>
      <c r="Y17" s="429"/>
      <c r="Z17" s="429"/>
      <c r="AA17" s="429"/>
      <c r="AB17" s="429"/>
      <c r="AC17" s="429"/>
      <c r="AD17" s="429"/>
      <c r="AE17" s="429"/>
      <c r="AF17" s="429"/>
      <c r="AG17" s="429"/>
      <c r="AH17" s="429"/>
      <c r="AI17" s="429"/>
      <c r="AJ17" s="429"/>
      <c r="AK17" s="429"/>
      <c r="AL17" s="429"/>
      <c r="AN17">
        <f t="shared" si="1"/>
        <v>86</v>
      </c>
      <c r="AO17" s="86" t="s">
        <v>212</v>
      </c>
    </row>
    <row r="18" spans="1:48" ht="15" customHeight="1" thickTop="1" thickBot="1">
      <c r="B18" s="286"/>
      <c r="D18" s="296" t="s">
        <v>400</v>
      </c>
      <c r="E18" s="289">
        <v>4</v>
      </c>
      <c r="G18" s="289"/>
      <c r="H18" s="272" t="s">
        <v>225</v>
      </c>
      <c r="I18">
        <v>8</v>
      </c>
      <c r="K18" s="429"/>
      <c r="L18" s="429"/>
      <c r="M18" s="429"/>
      <c r="N18" s="429"/>
      <c r="O18" s="429"/>
      <c r="P18" s="429"/>
      <c r="Q18" s="429"/>
      <c r="R18" s="429"/>
      <c r="S18" s="429"/>
      <c r="T18" s="429"/>
      <c r="U18" s="429"/>
      <c r="V18" s="429"/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429"/>
      <c r="AJ18" s="429"/>
      <c r="AK18" s="429"/>
      <c r="AL18" s="429"/>
      <c r="AN18">
        <f t="shared" si="1"/>
        <v>85</v>
      </c>
      <c r="AO18" s="302" t="s">
        <v>213</v>
      </c>
    </row>
    <row r="19" spans="1:48" ht="15" customHeight="1" thickTop="1" thickBot="1">
      <c r="B19" s="286"/>
      <c r="D19" s="287"/>
      <c r="E19" s="289"/>
      <c r="G19" s="289"/>
      <c r="H19" s="271" t="s">
        <v>228</v>
      </c>
      <c r="I19">
        <v>9</v>
      </c>
      <c r="K19" s="429"/>
      <c r="L19" s="429"/>
      <c r="M19" s="429"/>
      <c r="N19" s="429"/>
      <c r="O19" s="429"/>
      <c r="P19" s="429"/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N19">
        <f t="shared" si="1"/>
        <v>84</v>
      </c>
      <c r="AO19" s="304" t="s">
        <v>232</v>
      </c>
      <c r="AQ19" s="421" t="s">
        <v>441</v>
      </c>
    </row>
    <row r="20" spans="1:48" ht="15" customHeight="1" thickTop="1">
      <c r="B20" s="286"/>
      <c r="D20" s="287"/>
      <c r="E20" s="289"/>
      <c r="G20" s="289"/>
      <c r="H20" s="271" t="s">
        <v>229</v>
      </c>
      <c r="I20">
        <v>10</v>
      </c>
      <c r="K20" s="429"/>
      <c r="L20" s="429"/>
      <c r="M20" s="429"/>
      <c r="N20" s="429"/>
      <c r="O20" s="429"/>
      <c r="P20" s="429"/>
      <c r="Q20" s="429"/>
      <c r="R20" s="429"/>
      <c r="S20" s="429"/>
      <c r="T20" s="429"/>
      <c r="U20" s="429"/>
      <c r="V20" s="429"/>
      <c r="W20" s="429"/>
      <c r="X20" s="429"/>
      <c r="Y20" s="429"/>
      <c r="Z20" s="429"/>
      <c r="AA20" s="429"/>
      <c r="AB20" s="429"/>
      <c r="AC20" s="429"/>
      <c r="AD20" s="429"/>
      <c r="AE20" s="429"/>
      <c r="AF20" s="429"/>
      <c r="AG20" s="429"/>
      <c r="AH20" s="429"/>
      <c r="AI20" s="429"/>
      <c r="AJ20" s="429"/>
      <c r="AK20" s="429"/>
      <c r="AL20" s="429"/>
      <c r="AN20">
        <f t="shared" si="1"/>
        <v>83</v>
      </c>
      <c r="AO20" s="303" t="s">
        <v>196</v>
      </c>
      <c r="AQ20" s="422"/>
    </row>
    <row r="21" spans="1:48" ht="15" customHeight="1">
      <c r="B21" s="286"/>
      <c r="D21" s="287"/>
      <c r="E21" s="289"/>
      <c r="F21" s="275" t="s">
        <v>334</v>
      </c>
      <c r="G21" s="289">
        <v>1</v>
      </c>
      <c r="H21" s="275" t="s">
        <v>334</v>
      </c>
      <c r="I21">
        <v>11</v>
      </c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N21">
        <f t="shared" si="1"/>
        <v>82</v>
      </c>
      <c r="AO21" s="89" t="s">
        <v>197</v>
      </c>
    </row>
    <row r="22" spans="1:48" ht="15" customHeight="1">
      <c r="B22" s="285" t="str">
        <f>H22</f>
        <v>TX_ENA{0}/EBUS{0}-TX+</v>
      </c>
      <c r="C22" s="289">
        <v>1</v>
      </c>
      <c r="D22" s="288" t="s">
        <v>391</v>
      </c>
      <c r="E22" s="289">
        <v>5</v>
      </c>
      <c r="F22" s="276" t="s">
        <v>205</v>
      </c>
      <c r="G22" s="289">
        <v>2</v>
      </c>
      <c r="H22" s="276" t="s">
        <v>205</v>
      </c>
      <c r="I22">
        <v>12</v>
      </c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29"/>
      <c r="AI22" s="429"/>
      <c r="AJ22" s="429"/>
      <c r="AK22" s="429"/>
      <c r="AL22" s="429"/>
      <c r="AN22">
        <f t="shared" si="1"/>
        <v>81</v>
      </c>
      <c r="AO22" s="87" t="s">
        <v>368</v>
      </c>
      <c r="AP22">
        <v>48</v>
      </c>
      <c r="AQ22" s="87" t="s">
        <v>368</v>
      </c>
    </row>
    <row r="23" spans="1:48" ht="15" customHeight="1">
      <c r="B23" s="285" t="str">
        <f>H23</f>
        <v>TX_D{0}[1]/EBUS{0}-TX-</v>
      </c>
      <c r="C23" s="289">
        <v>2</v>
      </c>
      <c r="D23" s="288" t="s">
        <v>392</v>
      </c>
      <c r="E23" s="289">
        <v>6</v>
      </c>
      <c r="F23" s="276" t="s">
        <v>206</v>
      </c>
      <c r="G23" s="289">
        <v>3</v>
      </c>
      <c r="H23" s="276" t="s">
        <v>206</v>
      </c>
      <c r="I23">
        <v>13</v>
      </c>
      <c r="K23" s="429"/>
      <c r="L23" s="429"/>
      <c r="M23" s="429"/>
      <c r="N23" s="429"/>
      <c r="O23" s="429"/>
      <c r="P23" s="429"/>
      <c r="Q23" s="429"/>
      <c r="R23" s="429"/>
      <c r="S23" s="429"/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  <c r="AF23" s="429"/>
      <c r="AG23" s="429"/>
      <c r="AH23" s="429"/>
      <c r="AI23" s="429"/>
      <c r="AJ23" s="429"/>
      <c r="AK23" s="429"/>
      <c r="AL23" s="429"/>
      <c r="AN23">
        <f t="shared" si="1"/>
        <v>80</v>
      </c>
      <c r="AO23" s="242" t="s">
        <v>367</v>
      </c>
      <c r="AP23">
        <v>47</v>
      </c>
      <c r="AQ23" s="242" t="s">
        <v>367</v>
      </c>
    </row>
    <row r="24" spans="1:48" ht="15" customHeight="1">
      <c r="B24" s="286"/>
      <c r="C24" s="289"/>
      <c r="D24" s="287"/>
      <c r="E24" s="289"/>
      <c r="F24" s="426" t="s">
        <v>441</v>
      </c>
      <c r="G24" s="289"/>
      <c r="H24" s="274" t="s">
        <v>197</v>
      </c>
      <c r="I24">
        <v>14</v>
      </c>
      <c r="K24" s="429"/>
      <c r="L24" s="429"/>
      <c r="M24" s="429"/>
      <c r="N24" s="429"/>
      <c r="O24" s="429"/>
      <c r="P24" s="429"/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29"/>
      <c r="AG24" s="429"/>
      <c r="AH24" s="429"/>
      <c r="AI24" s="429"/>
      <c r="AJ24" s="429"/>
      <c r="AK24" s="429"/>
      <c r="AL24" s="429"/>
      <c r="AN24">
        <f t="shared" si="1"/>
        <v>79</v>
      </c>
      <c r="AO24" s="87" t="s">
        <v>366</v>
      </c>
      <c r="AP24">
        <v>46</v>
      </c>
      <c r="AQ24" s="87" t="s">
        <v>366</v>
      </c>
    </row>
    <row r="25" spans="1:48" ht="15" customHeight="1">
      <c r="B25" s="286"/>
      <c r="C25" s="289"/>
      <c r="D25" s="287"/>
      <c r="E25" s="289"/>
      <c r="F25" s="427"/>
      <c r="G25" s="289"/>
      <c r="H25" s="273" t="s">
        <v>196</v>
      </c>
      <c r="I25">
        <v>15</v>
      </c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N25">
        <f t="shared" si="1"/>
        <v>78</v>
      </c>
      <c r="AO25" s="303" t="s">
        <v>196</v>
      </c>
      <c r="AQ25" s="423" t="s">
        <v>442</v>
      </c>
    </row>
    <row r="26" spans="1:48" ht="15" customHeight="1" thickBot="1">
      <c r="B26" s="286"/>
      <c r="C26" s="289"/>
      <c r="D26" s="287"/>
      <c r="E26" s="289"/>
      <c r="F26" s="277" t="s">
        <v>341</v>
      </c>
      <c r="G26" s="289">
        <v>4</v>
      </c>
      <c r="H26" s="277" t="s">
        <v>341</v>
      </c>
      <c r="I26">
        <v>16</v>
      </c>
      <c r="K26" s="429"/>
      <c r="L26" s="429"/>
      <c r="M26" s="429"/>
      <c r="N26" s="429"/>
      <c r="O26" s="429"/>
      <c r="P26" s="429"/>
      <c r="Q26" s="429"/>
      <c r="R26" s="429"/>
      <c r="S26" s="429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N26">
        <f t="shared" si="1"/>
        <v>77</v>
      </c>
      <c r="AO26" s="89" t="s">
        <v>197</v>
      </c>
      <c r="AQ26" s="424"/>
    </row>
    <row r="27" spans="1:48" ht="15" customHeight="1">
      <c r="B27" s="286"/>
      <c r="C27" s="289"/>
      <c r="D27" s="287"/>
      <c r="E27" s="289"/>
      <c r="F27" s="277" t="s">
        <v>340</v>
      </c>
      <c r="G27" s="289">
        <v>5</v>
      </c>
      <c r="H27" s="277" t="s">
        <v>340</v>
      </c>
      <c r="I27">
        <v>17</v>
      </c>
      <c r="K27" s="429"/>
      <c r="L27" s="429"/>
      <c r="M27" s="429"/>
      <c r="N27" s="429"/>
      <c r="O27" s="429"/>
      <c r="P27" s="429"/>
      <c r="Q27" s="429"/>
      <c r="R27" s="429"/>
      <c r="S27" s="429"/>
      <c r="T27" s="429"/>
      <c r="U27" s="429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429"/>
      <c r="AK27" s="429"/>
      <c r="AL27" s="429"/>
      <c r="AN27">
        <f t="shared" si="1"/>
        <v>76</v>
      </c>
      <c r="AO27" s="58" t="s">
        <v>33</v>
      </c>
      <c r="AP27">
        <f>AP28+1</f>
        <v>45</v>
      </c>
      <c r="AQ27" s="58" t="s">
        <v>33</v>
      </c>
      <c r="AR27">
        <v>35</v>
      </c>
      <c r="AS27" s="238" t="s">
        <v>130</v>
      </c>
      <c r="AT27">
        <v>24</v>
      </c>
      <c r="AU27" s="58" t="s">
        <v>33</v>
      </c>
    </row>
    <row r="28" spans="1:48" ht="15" customHeight="1">
      <c r="B28" s="286"/>
      <c r="C28" s="289"/>
      <c r="D28" s="287"/>
      <c r="E28" s="289"/>
      <c r="F28" s="277" t="s">
        <v>342</v>
      </c>
      <c r="G28" s="289">
        <v>6</v>
      </c>
      <c r="H28" s="277" t="s">
        <v>342</v>
      </c>
      <c r="I28">
        <v>18</v>
      </c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/>
      <c r="AG28" s="429"/>
      <c r="AH28" s="429"/>
      <c r="AI28" s="429"/>
      <c r="AJ28" s="429"/>
      <c r="AK28" s="429"/>
      <c r="AL28" s="429"/>
      <c r="AN28">
        <f t="shared" si="1"/>
        <v>75</v>
      </c>
      <c r="AO28" s="60" t="s">
        <v>153</v>
      </c>
      <c r="AP28">
        <v>44</v>
      </c>
      <c r="AQ28" s="60" t="s">
        <v>153</v>
      </c>
      <c r="AR28">
        <v>34</v>
      </c>
      <c r="AS28" s="60" t="s">
        <v>153</v>
      </c>
      <c r="AT28">
        <v>23</v>
      </c>
      <c r="AU28" s="60" t="s">
        <v>153</v>
      </c>
    </row>
    <row r="29" spans="1:48" ht="15" customHeight="1" thickBot="1">
      <c r="A29" s="417" t="s">
        <v>436</v>
      </c>
      <c r="B29" s="252" t="s">
        <v>196</v>
      </c>
      <c r="C29" s="289">
        <v>3</v>
      </c>
      <c r="D29" s="273" t="s">
        <v>196</v>
      </c>
      <c r="E29" s="289">
        <v>7</v>
      </c>
      <c r="F29" s="273" t="s">
        <v>196</v>
      </c>
      <c r="G29" s="289">
        <v>7</v>
      </c>
      <c r="H29" s="273" t="s">
        <v>196</v>
      </c>
      <c r="I29">
        <v>19</v>
      </c>
      <c r="K29" s="429"/>
      <c r="L29" s="429"/>
      <c r="M29" s="429"/>
      <c r="N29" s="429"/>
      <c r="O29" s="429"/>
      <c r="P29" s="429"/>
      <c r="Q29" s="429"/>
      <c r="R29" s="429"/>
      <c r="S29" s="429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N29">
        <f t="shared" si="1"/>
        <v>74</v>
      </c>
      <c r="AO29" s="62" t="s">
        <v>0</v>
      </c>
      <c r="AP29">
        <v>43</v>
      </c>
      <c r="AQ29" s="62" t="s">
        <v>0</v>
      </c>
      <c r="AR29">
        <v>33</v>
      </c>
      <c r="AS29" s="60" t="s">
        <v>0</v>
      </c>
      <c r="AT29">
        <v>22</v>
      </c>
      <c r="AU29" s="62" t="s">
        <v>0</v>
      </c>
    </row>
    <row r="30" spans="1:48" ht="15" customHeight="1">
      <c r="A30" s="418"/>
      <c r="B30" s="270" t="s">
        <v>197</v>
      </c>
      <c r="C30" s="289">
        <v>4</v>
      </c>
      <c r="D30" s="376" t="s">
        <v>197</v>
      </c>
      <c r="E30" s="289">
        <v>8</v>
      </c>
      <c r="F30" s="274" t="s">
        <v>197</v>
      </c>
      <c r="G30" s="289">
        <v>8</v>
      </c>
      <c r="H30" s="274" t="s">
        <v>197</v>
      </c>
      <c r="I30">
        <v>20</v>
      </c>
      <c r="K30" s="429"/>
      <c r="L30" s="429"/>
      <c r="M30" s="429"/>
      <c r="N30" s="429"/>
      <c r="O30" s="429"/>
      <c r="P30" s="429"/>
      <c r="Q30" s="429"/>
      <c r="R30" s="429"/>
      <c r="S30" s="429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  <c r="AL30" s="429"/>
      <c r="AN30">
        <f t="shared" si="1"/>
        <v>73</v>
      </c>
      <c r="AO30" s="63" t="s">
        <v>154</v>
      </c>
      <c r="AP30">
        <v>42</v>
      </c>
      <c r="AQ30" s="63" t="s">
        <v>154</v>
      </c>
      <c r="AR30">
        <v>32</v>
      </c>
      <c r="AS30" s="60" t="s">
        <v>154</v>
      </c>
      <c r="AT30">
        <v>21</v>
      </c>
      <c r="AU30" s="63" t="s">
        <v>154</v>
      </c>
    </row>
    <row r="31" spans="1:48" ht="15" customHeight="1" thickBot="1">
      <c r="B31" s="278" t="s">
        <v>343</v>
      </c>
      <c r="C31" s="289">
        <v>5</v>
      </c>
      <c r="D31" s="288" t="s">
        <v>393</v>
      </c>
      <c r="E31" s="289">
        <v>9</v>
      </c>
      <c r="F31" s="278" t="s">
        <v>343</v>
      </c>
      <c r="G31" s="289">
        <v>9</v>
      </c>
      <c r="H31" s="278" t="s">
        <v>343</v>
      </c>
      <c r="I31">
        <v>21</v>
      </c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AL31" s="429"/>
      <c r="AN31">
        <f t="shared" si="1"/>
        <v>72</v>
      </c>
      <c r="AO31" s="62" t="s">
        <v>155</v>
      </c>
      <c r="AP31">
        <v>41</v>
      </c>
      <c r="AQ31" s="62" t="s">
        <v>155</v>
      </c>
      <c r="AR31">
        <v>31</v>
      </c>
      <c r="AS31" s="60" t="s">
        <v>155</v>
      </c>
      <c r="AT31">
        <v>20</v>
      </c>
      <c r="AU31" s="62" t="s">
        <v>155</v>
      </c>
    </row>
    <row r="32" spans="1:48" ht="15" customHeight="1">
      <c r="B32" s="276" t="s">
        <v>208</v>
      </c>
      <c r="C32" s="289">
        <v>6</v>
      </c>
      <c r="D32" s="288" t="s">
        <v>394</v>
      </c>
      <c r="E32" s="289">
        <v>10</v>
      </c>
      <c r="F32" s="276" t="s">
        <v>208</v>
      </c>
      <c r="G32" s="289">
        <v>10</v>
      </c>
      <c r="H32" s="276" t="s">
        <v>208</v>
      </c>
      <c r="I32">
        <v>22</v>
      </c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N32">
        <f t="shared" si="1"/>
        <v>71</v>
      </c>
      <c r="AO32" s="358" t="s">
        <v>415</v>
      </c>
      <c r="AP32">
        <v>40</v>
      </c>
      <c r="AQ32" s="358" t="s">
        <v>415</v>
      </c>
      <c r="AR32">
        <v>30</v>
      </c>
      <c r="AS32" s="358" t="s">
        <v>415</v>
      </c>
      <c r="AT32">
        <v>19</v>
      </c>
      <c r="AU32" s="358" t="s">
        <v>415</v>
      </c>
      <c r="AV32" s="381" t="s">
        <v>438</v>
      </c>
    </row>
    <row r="33" spans="2:48" ht="15" customHeight="1" thickBot="1">
      <c r="B33" s="286"/>
      <c r="C33" s="289"/>
      <c r="D33" s="287"/>
      <c r="E33" s="289"/>
      <c r="F33" s="277" t="s">
        <v>330</v>
      </c>
      <c r="G33" s="289">
        <v>11</v>
      </c>
      <c r="H33" s="277" t="s">
        <v>330</v>
      </c>
      <c r="I33">
        <v>23</v>
      </c>
      <c r="K33" s="429"/>
      <c r="L33" s="429"/>
      <c r="M33" s="429"/>
      <c r="N33" s="429"/>
      <c r="O33" s="429"/>
      <c r="P33" s="429"/>
      <c r="Q33" s="429"/>
      <c r="R33" s="429"/>
      <c r="S33" s="429"/>
      <c r="T33" s="429"/>
      <c r="U33" s="429"/>
      <c r="V33" s="429"/>
      <c r="W33" s="429"/>
      <c r="X33" s="429"/>
      <c r="Y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29"/>
      <c r="AL33" s="429"/>
      <c r="AN33">
        <f t="shared" si="1"/>
        <v>70</v>
      </c>
      <c r="AO33" s="359" t="s">
        <v>416</v>
      </c>
      <c r="AP33">
        <v>39</v>
      </c>
      <c r="AQ33" s="359" t="s">
        <v>416</v>
      </c>
      <c r="AR33">
        <v>29</v>
      </c>
      <c r="AS33" s="359" t="s">
        <v>416</v>
      </c>
      <c r="AT33">
        <v>18</v>
      </c>
      <c r="AU33" s="359" t="s">
        <v>416</v>
      </c>
      <c r="AV33" s="381" t="s">
        <v>439</v>
      </c>
    </row>
    <row r="34" spans="2:48" ht="15" customHeight="1" thickTop="1" thickBot="1">
      <c r="B34" s="286"/>
      <c r="C34" s="289"/>
      <c r="D34" s="287"/>
      <c r="E34" s="289"/>
      <c r="F34" s="279" t="s">
        <v>82</v>
      </c>
      <c r="G34" s="289">
        <v>12</v>
      </c>
      <c r="H34" s="279" t="s">
        <v>82</v>
      </c>
      <c r="I34">
        <v>24</v>
      </c>
      <c r="K34" s="429"/>
      <c r="L34" s="429"/>
      <c r="M34" s="429"/>
      <c r="N34" s="429"/>
      <c r="O34" s="429"/>
      <c r="P34" s="429"/>
      <c r="Q34" s="429"/>
      <c r="R34" s="429"/>
      <c r="S34" s="429"/>
      <c r="T34" s="429"/>
      <c r="U34" s="429"/>
      <c r="V34" s="429"/>
      <c r="W34" s="429"/>
      <c r="X34" s="429"/>
      <c r="Y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/>
      <c r="AJ34" s="429"/>
      <c r="AK34" s="429"/>
      <c r="AL34" s="429"/>
      <c r="AN34">
        <f t="shared" si="1"/>
        <v>69</v>
      </c>
      <c r="AO34" s="304" t="s">
        <v>230</v>
      </c>
      <c r="AV34" s="381" t="s">
        <v>440</v>
      </c>
    </row>
    <row r="35" spans="2:48" ht="15" customHeight="1" thickTop="1" thickBot="1">
      <c r="B35" s="286"/>
      <c r="C35" s="289"/>
      <c r="D35" s="287"/>
      <c r="E35" s="289"/>
      <c r="F35" s="279" t="s">
        <v>85</v>
      </c>
      <c r="G35" s="289">
        <v>13</v>
      </c>
      <c r="H35" s="279" t="s">
        <v>85</v>
      </c>
      <c r="I35">
        <v>25</v>
      </c>
      <c r="K35" s="429"/>
      <c r="L35" s="429"/>
      <c r="M35" s="429"/>
      <c r="N35" s="429"/>
      <c r="O35" s="429"/>
      <c r="P35" s="429"/>
      <c r="Q35" s="429"/>
      <c r="R35" s="429"/>
      <c r="S35" s="429"/>
      <c r="T35" s="429"/>
      <c r="U35" s="429"/>
      <c r="V35" s="429"/>
      <c r="W35" s="429"/>
      <c r="X35" s="429"/>
      <c r="Y35" s="429"/>
      <c r="Z35" s="429"/>
      <c r="AA35" s="429"/>
      <c r="AB35" s="429"/>
      <c r="AC35" s="429"/>
      <c r="AD35" s="429"/>
      <c r="AE35" s="429"/>
      <c r="AF35" s="429"/>
      <c r="AG35" s="429"/>
      <c r="AH35" s="429"/>
      <c r="AI35" s="429"/>
      <c r="AJ35" s="429"/>
      <c r="AK35" s="429"/>
      <c r="AL35" s="429"/>
      <c r="AN35">
        <f t="shared" si="1"/>
        <v>68</v>
      </c>
      <c r="AO35" s="360" t="s">
        <v>417</v>
      </c>
      <c r="AP35">
        <v>38</v>
      </c>
      <c r="AQ35" s="65" t="s">
        <v>159</v>
      </c>
      <c r="AR35">
        <v>28</v>
      </c>
      <c r="AS35" s="238" t="s">
        <v>364</v>
      </c>
      <c r="AT35">
        <v>17</v>
      </c>
      <c r="AU35" s="65" t="s">
        <v>159</v>
      </c>
    </row>
    <row r="36" spans="2:48" ht="15" customHeight="1" thickBot="1">
      <c r="B36" s="286"/>
      <c r="C36" s="289"/>
      <c r="D36" s="287"/>
      <c r="E36" s="289"/>
      <c r="F36" s="426" t="s">
        <v>432</v>
      </c>
      <c r="G36" s="289"/>
      <c r="H36" s="273" t="s">
        <v>196</v>
      </c>
      <c r="I36">
        <v>26</v>
      </c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N36">
        <f t="shared" si="1"/>
        <v>67</v>
      </c>
      <c r="AO36" s="237" t="s">
        <v>363</v>
      </c>
      <c r="AP36">
        <v>37</v>
      </c>
      <c r="AQ36" s="237" t="s">
        <v>363</v>
      </c>
      <c r="AT36">
        <v>16</v>
      </c>
      <c r="AU36" s="91" t="s">
        <v>363</v>
      </c>
    </row>
    <row r="37" spans="2:48" ht="15" customHeight="1">
      <c r="B37" s="286"/>
      <c r="C37" s="289"/>
      <c r="D37" s="287"/>
      <c r="E37" s="289"/>
      <c r="F37" s="427"/>
      <c r="G37" s="289"/>
      <c r="H37" s="274" t="s">
        <v>197</v>
      </c>
      <c r="I37">
        <v>27</v>
      </c>
      <c r="K37" s="429"/>
      <c r="L37" s="429"/>
      <c r="M37" s="429"/>
      <c r="N37" s="429"/>
      <c r="O37" s="429"/>
      <c r="P37" s="429"/>
      <c r="Q37" s="429"/>
      <c r="R37" s="429"/>
      <c r="S37" s="429"/>
      <c r="T37" s="429"/>
      <c r="U37" s="429"/>
      <c r="V37" s="429"/>
      <c r="W37" s="429"/>
      <c r="X37" s="429"/>
      <c r="Y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N37">
        <f t="shared" si="1"/>
        <v>66</v>
      </c>
      <c r="AO37" s="237" t="s">
        <v>362</v>
      </c>
      <c r="AP37">
        <v>36</v>
      </c>
      <c r="AQ37" s="237" t="s">
        <v>362</v>
      </c>
      <c r="AR37">
        <v>27</v>
      </c>
      <c r="AS37" s="237" t="s">
        <v>362</v>
      </c>
      <c r="AT37">
        <v>15</v>
      </c>
      <c r="AU37" s="237" t="s">
        <v>362</v>
      </c>
    </row>
    <row r="38" spans="2:48" ht="15" customHeight="1" thickBot="1">
      <c r="B38" s="286"/>
      <c r="C38" s="289"/>
      <c r="D38" s="287"/>
      <c r="E38" s="289"/>
      <c r="F38" s="279" t="s">
        <v>79</v>
      </c>
      <c r="G38" s="289">
        <v>14</v>
      </c>
      <c r="H38" s="279" t="s">
        <v>79</v>
      </c>
      <c r="I38">
        <v>28</v>
      </c>
      <c r="K38" s="429"/>
      <c r="L38" s="429"/>
      <c r="M38" s="429"/>
      <c r="N38" s="429"/>
      <c r="O38" s="429"/>
      <c r="P38" s="429"/>
      <c r="Q38" s="429"/>
      <c r="R38" s="429"/>
      <c r="S38" s="429"/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  <c r="AL38" s="429"/>
      <c r="AN38">
        <f t="shared" si="1"/>
        <v>65</v>
      </c>
      <c r="AO38" s="236" t="s">
        <v>360</v>
      </c>
      <c r="AP38">
        <v>35</v>
      </c>
      <c r="AQ38" s="236" t="s">
        <v>360</v>
      </c>
      <c r="AR38">
        <v>26</v>
      </c>
      <c r="AS38" s="238" t="s">
        <v>361</v>
      </c>
    </row>
    <row r="39" spans="2:48" ht="15" customHeight="1" thickBot="1">
      <c r="B39" s="286"/>
      <c r="C39" s="289"/>
      <c r="D39" s="287"/>
      <c r="E39" s="289"/>
      <c r="F39" s="299" t="s">
        <v>80</v>
      </c>
      <c r="G39" s="289">
        <v>15</v>
      </c>
      <c r="H39" s="299" t="s">
        <v>80</v>
      </c>
      <c r="I39">
        <v>29</v>
      </c>
      <c r="K39" s="429"/>
      <c r="L39" s="429"/>
      <c r="M39" s="429"/>
      <c r="N39" s="429"/>
      <c r="O39" s="429"/>
      <c r="P39" s="429"/>
      <c r="Q39" s="429"/>
      <c r="R39" s="429"/>
      <c r="S39" s="429"/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29"/>
      <c r="AL39" s="429"/>
      <c r="AN39">
        <f t="shared" si="1"/>
        <v>64</v>
      </c>
      <c r="AO39" s="85" t="s">
        <v>68</v>
      </c>
      <c r="AP39">
        <v>34</v>
      </c>
      <c r="AQ39" s="85" t="s">
        <v>68</v>
      </c>
      <c r="AR39">
        <v>25</v>
      </c>
      <c r="AS39" s="369" t="s">
        <v>423</v>
      </c>
    </row>
    <row r="40" spans="2:48" ht="15" customHeight="1" thickTop="1" thickBot="1">
      <c r="B40" s="307" t="s">
        <v>347</v>
      </c>
      <c r="C40" s="289">
        <v>7</v>
      </c>
      <c r="D40" s="307" t="s">
        <v>348</v>
      </c>
      <c r="E40" s="289">
        <v>11</v>
      </c>
      <c r="F40" s="307" t="s">
        <v>347</v>
      </c>
      <c r="G40" s="289">
        <v>16</v>
      </c>
      <c r="H40" s="307" t="s">
        <v>347</v>
      </c>
      <c r="I40">
        <v>30</v>
      </c>
      <c r="K40" s="429"/>
      <c r="L40" s="429"/>
      <c r="M40" s="429"/>
      <c r="N40" s="429"/>
      <c r="O40" s="429"/>
      <c r="P40" s="429"/>
      <c r="Q40" s="429"/>
      <c r="R40" s="429"/>
      <c r="S40" s="429"/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  <c r="AL40" s="429"/>
      <c r="AN40">
        <f>AN41+1</f>
        <v>63</v>
      </c>
      <c r="AO40" s="85" t="s">
        <v>71</v>
      </c>
      <c r="AP40">
        <v>33</v>
      </c>
      <c r="AQ40" s="85" t="s">
        <v>71</v>
      </c>
    </row>
    <row r="41" spans="2:48" ht="15" customHeight="1" thickTop="1" thickBot="1">
      <c r="D41" s="308" t="s">
        <v>344</v>
      </c>
      <c r="E41" s="289">
        <v>12</v>
      </c>
      <c r="F41" s="300" t="s">
        <v>87</v>
      </c>
      <c r="G41" s="289">
        <v>17</v>
      </c>
      <c r="H41" s="301" t="s">
        <v>87</v>
      </c>
      <c r="I41">
        <v>31</v>
      </c>
      <c r="N41">
        <v>5</v>
      </c>
      <c r="O41">
        <v>7</v>
      </c>
      <c r="P41">
        <v>8</v>
      </c>
      <c r="Q41">
        <v>9</v>
      </c>
      <c r="R41">
        <v>10</v>
      </c>
      <c r="S41">
        <v>11</v>
      </c>
      <c r="T41">
        <v>12</v>
      </c>
      <c r="U41">
        <v>13</v>
      </c>
      <c r="V41">
        <v>14</v>
      </c>
      <c r="W41">
        <v>15</v>
      </c>
      <c r="AN41">
        <v>62</v>
      </c>
      <c r="AO41" s="85" t="s">
        <v>74</v>
      </c>
      <c r="AP41">
        <v>32</v>
      </c>
      <c r="AQ41" s="85" t="s">
        <v>74</v>
      </c>
    </row>
    <row r="42" spans="2:48" ht="15" customHeight="1" thickBot="1">
      <c r="J42">
        <v>32</v>
      </c>
      <c r="K42">
        <v>33</v>
      </c>
      <c r="L42">
        <v>34</v>
      </c>
      <c r="M42">
        <v>35</v>
      </c>
      <c r="N42">
        <v>36</v>
      </c>
      <c r="O42">
        <v>37</v>
      </c>
      <c r="P42">
        <v>38</v>
      </c>
      <c r="Q42">
        <v>39</v>
      </c>
      <c r="R42">
        <v>40</v>
      </c>
      <c r="S42">
        <v>41</v>
      </c>
      <c r="T42">
        <v>42</v>
      </c>
      <c r="U42">
        <v>43</v>
      </c>
      <c r="V42">
        <v>44</v>
      </c>
      <c r="W42">
        <v>45</v>
      </c>
      <c r="X42">
        <v>46</v>
      </c>
      <c r="Y42">
        <v>47</v>
      </c>
      <c r="Z42">
        <v>48</v>
      </c>
      <c r="AA42">
        <v>49</v>
      </c>
      <c r="AB42">
        <v>50</v>
      </c>
      <c r="AC42">
        <v>51</v>
      </c>
      <c r="AD42">
        <v>52</v>
      </c>
      <c r="AE42">
        <v>53</v>
      </c>
      <c r="AF42">
        <v>54</v>
      </c>
      <c r="AG42">
        <v>55</v>
      </c>
      <c r="AH42">
        <v>56</v>
      </c>
      <c r="AI42">
        <v>57</v>
      </c>
      <c r="AJ42">
        <v>58</v>
      </c>
      <c r="AK42">
        <v>59</v>
      </c>
      <c r="AL42">
        <v>60</v>
      </c>
      <c r="AM42">
        <v>61</v>
      </c>
    </row>
    <row r="43" spans="2:48" ht="169.75" customHeight="1" thickTop="1" thickBot="1">
      <c r="J43" s="309" t="s">
        <v>345</v>
      </c>
      <c r="K43" s="311" t="s">
        <v>402</v>
      </c>
      <c r="L43" s="310" t="s">
        <v>350</v>
      </c>
      <c r="M43" s="280" t="s">
        <v>349</v>
      </c>
      <c r="N43" s="280" t="s">
        <v>333</v>
      </c>
      <c r="O43" s="259" t="s">
        <v>197</v>
      </c>
      <c r="P43" s="260" t="s">
        <v>196</v>
      </c>
      <c r="Q43" s="280" t="s">
        <v>198</v>
      </c>
      <c r="R43" s="280" t="s">
        <v>199</v>
      </c>
      <c r="S43" s="280" t="s">
        <v>200</v>
      </c>
      <c r="T43" s="259" t="s">
        <v>197</v>
      </c>
      <c r="U43" s="260" t="s">
        <v>196</v>
      </c>
      <c r="V43" s="280" t="s">
        <v>201</v>
      </c>
      <c r="W43" s="280" t="s">
        <v>202</v>
      </c>
      <c r="X43" s="280" t="s">
        <v>203</v>
      </c>
      <c r="Y43" s="280" t="s">
        <v>204</v>
      </c>
      <c r="Z43" s="258" t="s">
        <v>352</v>
      </c>
      <c r="AA43" s="258" t="s">
        <v>353</v>
      </c>
      <c r="AB43" s="259" t="s">
        <v>197</v>
      </c>
      <c r="AC43" s="260" t="s">
        <v>196</v>
      </c>
      <c r="AD43" s="257" t="s">
        <v>354</v>
      </c>
      <c r="AE43" s="257" t="s">
        <v>355</v>
      </c>
      <c r="AF43" s="257" t="s">
        <v>356</v>
      </c>
      <c r="AG43" s="260" t="s">
        <v>196</v>
      </c>
      <c r="AH43" s="259" t="s">
        <v>197</v>
      </c>
      <c r="AI43" s="258" t="s">
        <v>357</v>
      </c>
      <c r="AJ43" s="258" t="s">
        <v>359</v>
      </c>
      <c r="AK43" s="257" t="s">
        <v>72</v>
      </c>
      <c r="AL43" s="257" t="s">
        <v>73</v>
      </c>
      <c r="AM43" s="257" t="s">
        <v>75</v>
      </c>
      <c r="AO43">
        <v>128</v>
      </c>
    </row>
    <row r="44" spans="2:48" ht="15" thickTop="1" thickBot="1">
      <c r="J44">
        <v>18</v>
      </c>
      <c r="K44">
        <v>19</v>
      </c>
      <c r="Z44">
        <v>20</v>
      </c>
      <c r="AA44">
        <v>21</v>
      </c>
      <c r="AB44">
        <v>22</v>
      </c>
      <c r="AC44">
        <v>23</v>
      </c>
      <c r="AD44">
        <v>24</v>
      </c>
      <c r="AE44">
        <v>25</v>
      </c>
      <c r="AF44">
        <v>26</v>
      </c>
      <c r="AI44">
        <v>27</v>
      </c>
      <c r="AJ44">
        <v>28</v>
      </c>
      <c r="AK44">
        <v>29</v>
      </c>
      <c r="AL44">
        <v>30</v>
      </c>
      <c r="AM44">
        <v>31</v>
      </c>
    </row>
    <row r="45" spans="2:48" ht="142" thickTop="1" thickBot="1">
      <c r="J45" s="309" t="s">
        <v>345</v>
      </c>
      <c r="K45" s="311" t="s">
        <v>402</v>
      </c>
      <c r="N45" s="56"/>
      <c r="O45" s="421" t="s">
        <v>431</v>
      </c>
      <c r="P45" s="422"/>
      <c r="T45" s="421" t="s">
        <v>430</v>
      </c>
      <c r="U45" s="422"/>
      <c r="Z45" s="258" t="s">
        <v>352</v>
      </c>
      <c r="AA45" s="258" t="s">
        <v>353</v>
      </c>
      <c r="AB45" s="82" t="s">
        <v>197</v>
      </c>
      <c r="AC45" s="90" t="s">
        <v>196</v>
      </c>
      <c r="AD45" s="257" t="s">
        <v>354</v>
      </c>
      <c r="AE45" s="257" t="s">
        <v>355</v>
      </c>
      <c r="AF45" s="257" t="s">
        <v>356</v>
      </c>
      <c r="AG45" s="425" t="s">
        <v>432</v>
      </c>
      <c r="AH45" s="418"/>
      <c r="AI45" s="258" t="s">
        <v>357</v>
      </c>
      <c r="AJ45" s="258" t="s">
        <v>359</v>
      </c>
      <c r="AK45" s="257" t="s">
        <v>72</v>
      </c>
      <c r="AL45" s="257" t="s">
        <v>73</v>
      </c>
      <c r="AM45" s="257" t="s">
        <v>75</v>
      </c>
      <c r="AO45" s="93" t="s">
        <v>235</v>
      </c>
    </row>
    <row r="46" spans="2:48" ht="12.65" customHeight="1" thickTop="1" thickBot="1">
      <c r="J46">
        <v>13</v>
      </c>
      <c r="L46">
        <v>14</v>
      </c>
      <c r="M46">
        <v>15</v>
      </c>
      <c r="N46">
        <v>16</v>
      </c>
      <c r="V46">
        <v>17</v>
      </c>
      <c r="Z46">
        <v>18</v>
      </c>
      <c r="AA46">
        <v>19</v>
      </c>
      <c r="AB46">
        <v>20</v>
      </c>
      <c r="AC46">
        <v>21</v>
      </c>
      <c r="AI46">
        <v>22</v>
      </c>
      <c r="AJ46">
        <v>23</v>
      </c>
      <c r="AK46">
        <v>24</v>
      </c>
    </row>
    <row r="47" spans="2:48" ht="195.65" customHeight="1" thickTop="1" thickBot="1">
      <c r="J47" s="256" t="s">
        <v>346</v>
      </c>
      <c r="L47" s="266" t="s">
        <v>351</v>
      </c>
      <c r="M47" s="266" t="s">
        <v>134</v>
      </c>
      <c r="N47" s="266" t="s">
        <v>133</v>
      </c>
      <c r="V47" s="312" t="s">
        <v>403</v>
      </c>
      <c r="Z47" s="258" t="s">
        <v>339</v>
      </c>
      <c r="AA47" s="258" t="s">
        <v>414</v>
      </c>
      <c r="AB47" s="259" t="s">
        <v>197</v>
      </c>
      <c r="AC47" s="267" t="s">
        <v>196</v>
      </c>
      <c r="AI47" s="258" t="s">
        <v>358</v>
      </c>
      <c r="AJ47" s="258" t="s">
        <v>233</v>
      </c>
      <c r="AK47" s="368" t="s">
        <v>423</v>
      </c>
      <c r="AO47" s="93" t="s">
        <v>408</v>
      </c>
    </row>
    <row r="48" spans="2:48" ht="14.5" thickTop="1">
      <c r="J48">
        <v>8</v>
      </c>
      <c r="Z48">
        <v>9</v>
      </c>
      <c r="AA48">
        <v>10</v>
      </c>
      <c r="AB48">
        <v>11</v>
      </c>
      <c r="AC48">
        <v>12</v>
      </c>
      <c r="AI48">
        <v>13</v>
      </c>
      <c r="AJ48">
        <v>14</v>
      </c>
    </row>
    <row r="49" spans="10:41" ht="124.5">
      <c r="J49" s="256" t="s">
        <v>345</v>
      </c>
      <c r="Z49" s="258" t="s">
        <v>352</v>
      </c>
      <c r="AA49" s="258" t="s">
        <v>353</v>
      </c>
      <c r="AB49" s="82" t="s">
        <v>197</v>
      </c>
      <c r="AC49" s="90" t="s">
        <v>196</v>
      </c>
      <c r="AI49" s="258" t="s">
        <v>357</v>
      </c>
      <c r="AJ49" s="258" t="s">
        <v>359</v>
      </c>
      <c r="AO49" s="93" t="s">
        <v>234</v>
      </c>
    </row>
    <row r="52" spans="10:41" ht="108.5" customHeight="1">
      <c r="AB52" s="421" t="s">
        <v>433</v>
      </c>
      <c r="AC52" s="422"/>
    </row>
  </sheetData>
  <mergeCells count="18">
    <mergeCell ref="AB52:AC52"/>
    <mergeCell ref="AC4:AD4"/>
    <mergeCell ref="AJ4:AK4"/>
    <mergeCell ref="L6:M6"/>
    <mergeCell ref="F15:F16"/>
    <mergeCell ref="F24:F25"/>
    <mergeCell ref="F36:F37"/>
    <mergeCell ref="K12:AL40"/>
    <mergeCell ref="B3:H6"/>
    <mergeCell ref="O45:P45"/>
    <mergeCell ref="T45:U45"/>
    <mergeCell ref="AG45:AH45"/>
    <mergeCell ref="A29:A30"/>
    <mergeCell ref="W1:X1"/>
    <mergeCell ref="AQ19:AQ20"/>
    <mergeCell ref="AQ25:AQ26"/>
    <mergeCell ref="B2:H2"/>
    <mergeCell ref="AQ12:AQ13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5487-5219-4AF6-BF95-8BCB268F5214}">
  <dimension ref="A1:L124"/>
  <sheetViews>
    <sheetView topLeftCell="C53" zoomScaleNormal="100" workbookViewId="0">
      <selection activeCell="K90" sqref="K90"/>
    </sheetView>
  </sheetViews>
  <sheetFormatPr defaultRowHeight="14"/>
  <cols>
    <col min="1" max="1" width="8.54296875" customWidth="1"/>
    <col min="2" max="2" width="39.6328125" customWidth="1"/>
    <col min="3" max="3" width="22.453125" customWidth="1"/>
    <col min="4" max="4" width="9" customWidth="1"/>
    <col min="5" max="5" width="33.1796875" customWidth="1"/>
    <col min="6" max="6" width="17.81640625" customWidth="1"/>
    <col min="7" max="7" width="8.81640625" customWidth="1"/>
    <col min="8" max="8" width="28.1796875" customWidth="1"/>
    <col min="9" max="9" width="14.36328125" customWidth="1"/>
    <col min="11" max="11" width="33.81640625" customWidth="1"/>
    <col min="12" max="12" width="19.90625" customWidth="1"/>
  </cols>
  <sheetData>
    <row r="1" spans="1:12">
      <c r="A1" s="433">
        <v>128</v>
      </c>
      <c r="B1" s="434"/>
      <c r="C1" s="435"/>
      <c r="D1" s="433">
        <v>64</v>
      </c>
      <c r="E1" s="434"/>
      <c r="F1" s="435"/>
      <c r="G1" s="433">
        <v>48</v>
      </c>
      <c r="H1" s="434"/>
      <c r="I1" s="435"/>
      <c r="J1" s="433">
        <v>32</v>
      </c>
      <c r="K1" s="434"/>
      <c r="L1" s="435"/>
    </row>
    <row r="2" spans="1:12">
      <c r="A2" s="226" t="s">
        <v>331</v>
      </c>
      <c r="B2" s="226" t="s">
        <v>332</v>
      </c>
      <c r="C2" s="226" t="s">
        <v>411</v>
      </c>
      <c r="D2" s="226" t="s">
        <v>331</v>
      </c>
      <c r="E2" s="226" t="s">
        <v>332</v>
      </c>
      <c r="F2" s="226" t="s">
        <v>411</v>
      </c>
      <c r="G2" s="226" t="s">
        <v>331</v>
      </c>
      <c r="H2" s="226" t="s">
        <v>332</v>
      </c>
      <c r="I2" s="226" t="s">
        <v>411</v>
      </c>
      <c r="J2" s="226" t="s">
        <v>331</v>
      </c>
      <c r="K2" s="226" t="s">
        <v>332</v>
      </c>
      <c r="L2" s="226" t="s">
        <v>411</v>
      </c>
    </row>
    <row r="3" spans="1:12" ht="14.5" thickBot="1">
      <c r="A3" s="227">
        <v>1</v>
      </c>
      <c r="B3" s="88" t="s">
        <v>226</v>
      </c>
      <c r="C3" s="339" t="s">
        <v>411</v>
      </c>
      <c r="D3" s="92"/>
      <c r="E3" s="92"/>
      <c r="F3" s="92"/>
      <c r="J3" s="92"/>
      <c r="K3" s="92"/>
      <c r="L3" s="92"/>
    </row>
    <row r="4" spans="1:12" ht="15" thickTop="1" thickBot="1">
      <c r="A4" s="92">
        <v>2</v>
      </c>
      <c r="B4" s="78" t="s">
        <v>223</v>
      </c>
      <c r="C4" s="339" t="s">
        <v>418</v>
      </c>
      <c r="D4" s="92"/>
      <c r="E4" s="92"/>
      <c r="F4" s="314"/>
      <c r="G4" s="318">
        <v>1</v>
      </c>
      <c r="H4" s="373" t="s">
        <v>426</v>
      </c>
      <c r="I4" s="339" t="s">
        <v>418</v>
      </c>
      <c r="J4" s="315"/>
      <c r="K4" s="92"/>
      <c r="L4" s="92"/>
    </row>
    <row r="5" spans="1:12" ht="15" thickTop="1" thickBot="1">
      <c r="A5" s="227">
        <v>3</v>
      </c>
      <c r="B5" s="78" t="s">
        <v>222</v>
      </c>
      <c r="C5" s="339" t="s">
        <v>418</v>
      </c>
      <c r="D5" s="92"/>
      <c r="E5" s="92"/>
      <c r="F5" s="314"/>
      <c r="G5" s="318">
        <v>2</v>
      </c>
      <c r="H5" s="317" t="s">
        <v>427</v>
      </c>
      <c r="I5" s="339" t="s">
        <v>418</v>
      </c>
      <c r="J5" s="315"/>
      <c r="K5" s="92"/>
      <c r="L5" s="92"/>
    </row>
    <row r="6" spans="1:12" ht="14.5" thickTop="1">
      <c r="A6" s="92">
        <v>4</v>
      </c>
      <c r="B6" s="88" t="s">
        <v>227</v>
      </c>
      <c r="C6" s="339" t="s">
        <v>411</v>
      </c>
      <c r="D6" s="92"/>
      <c r="E6" s="92"/>
      <c r="F6" s="92"/>
      <c r="I6" s="339"/>
      <c r="J6" s="92"/>
      <c r="K6" s="92"/>
      <c r="L6" s="92"/>
    </row>
    <row r="7" spans="1:12">
      <c r="A7" s="227">
        <v>5</v>
      </c>
      <c r="B7" s="305" t="s">
        <v>404</v>
      </c>
      <c r="C7" s="363" t="s">
        <v>420</v>
      </c>
      <c r="D7" s="92"/>
      <c r="E7" s="92"/>
      <c r="F7" s="92"/>
      <c r="G7" s="315"/>
      <c r="H7" s="92"/>
      <c r="I7" s="92"/>
      <c r="J7" s="92"/>
      <c r="K7" s="92"/>
      <c r="L7" s="92"/>
    </row>
    <row r="8" spans="1:12" ht="14.5" thickBot="1">
      <c r="A8" s="92">
        <v>6</v>
      </c>
      <c r="B8" s="306" t="s">
        <v>405</v>
      </c>
      <c r="C8" s="226" t="s">
        <v>421</v>
      </c>
      <c r="D8" s="92"/>
      <c r="E8" s="92"/>
      <c r="F8" s="92"/>
      <c r="G8" s="361"/>
      <c r="H8" s="313"/>
      <c r="I8" s="313"/>
      <c r="J8" s="92"/>
      <c r="K8" s="92"/>
      <c r="L8" s="92"/>
    </row>
    <row r="9" spans="1:12" ht="15" thickTop="1" thickBot="1">
      <c r="A9" s="227">
        <v>7</v>
      </c>
      <c r="B9" s="367" t="s">
        <v>422</v>
      </c>
      <c r="C9" s="339" t="s">
        <v>419</v>
      </c>
      <c r="D9" s="92"/>
      <c r="E9" s="92"/>
      <c r="F9" s="314"/>
      <c r="G9" s="321">
        <v>3</v>
      </c>
      <c r="H9" s="374" t="s">
        <v>428</v>
      </c>
      <c r="I9" s="339" t="s">
        <v>419</v>
      </c>
      <c r="J9" s="315"/>
      <c r="K9" s="92"/>
      <c r="L9" s="92"/>
    </row>
    <row r="10" spans="1:12" ht="15" thickTop="1" thickBot="1">
      <c r="A10" s="92">
        <v>8</v>
      </c>
      <c r="B10" s="78" t="s">
        <v>225</v>
      </c>
      <c r="C10" s="339" t="s">
        <v>419</v>
      </c>
      <c r="D10" s="92"/>
      <c r="E10" s="92"/>
      <c r="F10" s="314"/>
      <c r="G10" s="321">
        <v>4</v>
      </c>
      <c r="H10" s="375" t="s">
        <v>429</v>
      </c>
      <c r="I10" s="339" t="s">
        <v>419</v>
      </c>
      <c r="J10" s="315"/>
      <c r="K10" s="92"/>
      <c r="L10" s="92"/>
    </row>
    <row r="11" spans="1:12" ht="14.5" thickTop="1">
      <c r="A11" s="227">
        <v>9</v>
      </c>
      <c r="B11" s="88" t="s">
        <v>228</v>
      </c>
      <c r="C11" s="339" t="s">
        <v>411</v>
      </c>
      <c r="D11" s="92"/>
      <c r="E11" s="92"/>
      <c r="F11" s="92"/>
      <c r="G11" s="362"/>
      <c r="H11" s="316"/>
      <c r="I11" s="339"/>
      <c r="J11" s="92"/>
      <c r="K11" s="92"/>
      <c r="L11" s="92"/>
    </row>
    <row r="12" spans="1:12">
      <c r="A12" s="92">
        <v>10</v>
      </c>
      <c r="B12" s="88" t="s">
        <v>229</v>
      </c>
      <c r="C12" s="339" t="s">
        <v>411</v>
      </c>
      <c r="D12" s="92"/>
      <c r="E12" s="92"/>
      <c r="F12" s="92"/>
      <c r="G12" s="315"/>
      <c r="H12" s="92"/>
      <c r="I12" s="92"/>
      <c r="J12" s="92"/>
      <c r="K12" s="92"/>
      <c r="L12" s="92"/>
    </row>
    <row r="13" spans="1:12">
      <c r="A13" s="227">
        <v>11</v>
      </c>
      <c r="B13" s="228" t="s">
        <v>334</v>
      </c>
      <c r="C13" s="339" t="s">
        <v>411</v>
      </c>
      <c r="D13" s="92">
        <v>1</v>
      </c>
      <c r="E13" s="229" t="s">
        <v>84</v>
      </c>
      <c r="F13" s="339" t="s">
        <v>411</v>
      </c>
      <c r="H13" s="92"/>
      <c r="I13" s="92"/>
      <c r="J13" s="92"/>
      <c r="K13" s="92"/>
      <c r="L13" s="92"/>
    </row>
    <row r="14" spans="1:12">
      <c r="A14" s="92">
        <v>12</v>
      </c>
      <c r="B14" s="69" t="s">
        <v>205</v>
      </c>
      <c r="C14" s="339" t="s">
        <v>418</v>
      </c>
      <c r="D14" s="92">
        <v>2</v>
      </c>
      <c r="E14" s="69" t="s">
        <v>205</v>
      </c>
      <c r="F14" s="339" t="s">
        <v>418</v>
      </c>
      <c r="G14" s="92">
        <v>5</v>
      </c>
      <c r="H14" s="230" t="s">
        <v>391</v>
      </c>
      <c r="I14" s="330" t="s">
        <v>413</v>
      </c>
      <c r="J14" s="92">
        <v>1</v>
      </c>
      <c r="K14" s="69" t="s">
        <v>205</v>
      </c>
      <c r="L14" s="339" t="s">
        <v>418</v>
      </c>
    </row>
    <row r="15" spans="1:12">
      <c r="A15" s="227">
        <v>13</v>
      </c>
      <c r="B15" s="69" t="s">
        <v>206</v>
      </c>
      <c r="C15" s="364" t="s">
        <v>413</v>
      </c>
      <c r="D15" s="92">
        <v>3</v>
      </c>
      <c r="E15" s="69" t="s">
        <v>206</v>
      </c>
      <c r="F15" s="364" t="s">
        <v>413</v>
      </c>
      <c r="G15" s="92">
        <v>6</v>
      </c>
      <c r="H15" s="230" t="s">
        <v>392</v>
      </c>
      <c r="I15" s="330" t="s">
        <v>413</v>
      </c>
      <c r="J15" s="92">
        <v>2</v>
      </c>
      <c r="K15" s="69" t="s">
        <v>206</v>
      </c>
      <c r="L15" s="364" t="s">
        <v>413</v>
      </c>
    </row>
    <row r="16" spans="1:12">
      <c r="A16" s="92">
        <v>14</v>
      </c>
      <c r="B16" s="306" t="s">
        <v>405</v>
      </c>
      <c r="C16" s="226" t="s">
        <v>421</v>
      </c>
      <c r="D16" s="92"/>
      <c r="E16" s="92"/>
      <c r="F16" s="92"/>
      <c r="G16" s="92"/>
      <c r="H16" s="92"/>
      <c r="I16" s="339"/>
      <c r="J16" s="92"/>
      <c r="K16" s="92"/>
      <c r="L16" s="92"/>
    </row>
    <row r="17" spans="1:12">
      <c r="A17" s="227">
        <v>15</v>
      </c>
      <c r="B17" s="305" t="s">
        <v>404</v>
      </c>
      <c r="C17" s="363" t="s">
        <v>420</v>
      </c>
      <c r="D17" s="92"/>
      <c r="E17" s="92"/>
      <c r="F17" s="92"/>
      <c r="G17" s="92"/>
      <c r="H17" s="92"/>
      <c r="I17" s="92"/>
      <c r="J17" s="92"/>
      <c r="K17" s="92"/>
      <c r="L17" s="92"/>
    </row>
    <row r="18" spans="1:12">
      <c r="A18" s="92">
        <v>16</v>
      </c>
      <c r="B18" s="221" t="s">
        <v>341</v>
      </c>
      <c r="C18" s="339" t="s">
        <v>411</v>
      </c>
      <c r="D18" s="92">
        <v>4</v>
      </c>
      <c r="E18" s="221" t="s">
        <v>341</v>
      </c>
      <c r="F18" s="339" t="s">
        <v>411</v>
      </c>
      <c r="G18" s="92"/>
      <c r="H18" s="92"/>
      <c r="I18" s="92"/>
      <c r="J18" s="92"/>
      <c r="K18" s="92"/>
      <c r="L18" s="92"/>
    </row>
    <row r="19" spans="1:12">
      <c r="A19" s="227">
        <v>17</v>
      </c>
      <c r="B19" s="221" t="s">
        <v>340</v>
      </c>
      <c r="C19" s="339" t="s">
        <v>411</v>
      </c>
      <c r="D19" s="92">
        <v>5</v>
      </c>
      <c r="E19" s="221" t="s">
        <v>340</v>
      </c>
      <c r="F19" s="339" t="s">
        <v>411</v>
      </c>
      <c r="G19" s="92"/>
      <c r="H19" s="92"/>
      <c r="I19" s="92"/>
      <c r="J19" s="92"/>
      <c r="K19" s="92"/>
      <c r="L19" s="92"/>
    </row>
    <row r="20" spans="1:12">
      <c r="A20" s="92">
        <v>18</v>
      </c>
      <c r="B20" s="221" t="s">
        <v>342</v>
      </c>
      <c r="C20" s="339" t="s">
        <v>411</v>
      </c>
      <c r="D20" s="92">
        <v>6</v>
      </c>
      <c r="E20" s="221" t="s">
        <v>342</v>
      </c>
      <c r="F20" s="339" t="s">
        <v>411</v>
      </c>
      <c r="G20" s="92"/>
      <c r="H20" s="92"/>
      <c r="I20" s="92"/>
      <c r="J20" s="92"/>
      <c r="K20" s="92"/>
      <c r="L20" s="92"/>
    </row>
    <row r="21" spans="1:12">
      <c r="A21" s="227">
        <v>19</v>
      </c>
      <c r="B21" s="305" t="s">
        <v>404</v>
      </c>
      <c r="C21" s="363" t="s">
        <v>420</v>
      </c>
      <c r="D21" s="92">
        <v>7</v>
      </c>
      <c r="E21" s="305" t="s">
        <v>404</v>
      </c>
      <c r="F21" s="328"/>
      <c r="G21" s="92">
        <v>7</v>
      </c>
      <c r="H21" s="305" t="s">
        <v>404</v>
      </c>
      <c r="I21" s="328"/>
      <c r="J21" s="92">
        <v>3</v>
      </c>
      <c r="K21" s="305" t="s">
        <v>404</v>
      </c>
      <c r="L21" s="328"/>
    </row>
    <row r="22" spans="1:12">
      <c r="A22" s="92">
        <v>20</v>
      </c>
      <c r="B22" s="306" t="s">
        <v>405</v>
      </c>
      <c r="C22" s="226" t="s">
        <v>421</v>
      </c>
      <c r="D22" s="92">
        <v>8</v>
      </c>
      <c r="E22" s="306" t="s">
        <v>405</v>
      </c>
      <c r="F22" s="328"/>
      <c r="G22" s="92">
        <v>8</v>
      </c>
      <c r="H22" s="306" t="s">
        <v>405</v>
      </c>
      <c r="I22" s="328"/>
      <c r="J22" s="92">
        <v>4</v>
      </c>
      <c r="K22" s="306" t="s">
        <v>405</v>
      </c>
      <c r="L22" s="328"/>
    </row>
    <row r="23" spans="1:12">
      <c r="A23" s="227">
        <v>21</v>
      </c>
      <c r="B23" s="222" t="s">
        <v>343</v>
      </c>
      <c r="C23" s="366" t="s">
        <v>412</v>
      </c>
      <c r="D23" s="92">
        <v>9</v>
      </c>
      <c r="E23" s="222" t="s">
        <v>343</v>
      </c>
      <c r="F23" s="329" t="s">
        <v>412</v>
      </c>
      <c r="G23" s="92">
        <v>9</v>
      </c>
      <c r="H23" s="230" t="s">
        <v>395</v>
      </c>
      <c r="I23" s="329" t="s">
        <v>412</v>
      </c>
      <c r="J23" s="92">
        <v>5</v>
      </c>
      <c r="K23" s="69" t="s">
        <v>207</v>
      </c>
      <c r="L23" s="329" t="s">
        <v>412</v>
      </c>
    </row>
    <row r="24" spans="1:12">
      <c r="A24" s="92">
        <v>22</v>
      </c>
      <c r="B24" s="69" t="s">
        <v>208</v>
      </c>
      <c r="C24" s="366" t="s">
        <v>412</v>
      </c>
      <c r="D24" s="92">
        <v>10</v>
      </c>
      <c r="E24" s="69" t="s">
        <v>208</v>
      </c>
      <c r="F24" s="329" t="s">
        <v>412</v>
      </c>
      <c r="G24" s="92">
        <v>10</v>
      </c>
      <c r="H24" s="230" t="s">
        <v>394</v>
      </c>
      <c r="I24" s="329" t="s">
        <v>412</v>
      </c>
      <c r="J24" s="92">
        <v>6</v>
      </c>
      <c r="K24" s="69" t="s">
        <v>208</v>
      </c>
      <c r="L24" s="329" t="s">
        <v>412</v>
      </c>
    </row>
    <row r="25" spans="1:12">
      <c r="A25" s="227">
        <v>23</v>
      </c>
      <c r="B25" s="221" t="s">
        <v>330</v>
      </c>
      <c r="C25" s="329" t="s">
        <v>412</v>
      </c>
      <c r="D25" s="92">
        <v>11</v>
      </c>
      <c r="E25" s="221" t="s">
        <v>330</v>
      </c>
      <c r="F25" s="329" t="s">
        <v>412</v>
      </c>
      <c r="G25" s="92"/>
      <c r="H25" s="92"/>
      <c r="I25" s="92"/>
      <c r="J25" s="92"/>
      <c r="K25" s="92"/>
      <c r="L25" s="92"/>
    </row>
    <row r="26" spans="1:12">
      <c r="A26" s="92">
        <v>24</v>
      </c>
      <c r="B26" s="84" t="s">
        <v>82</v>
      </c>
      <c r="C26" s="329" t="s">
        <v>412</v>
      </c>
      <c r="D26" s="92">
        <v>12</v>
      </c>
      <c r="E26" s="84" t="s">
        <v>82</v>
      </c>
      <c r="F26" s="329" t="s">
        <v>412</v>
      </c>
      <c r="G26" s="92"/>
      <c r="H26" s="92"/>
      <c r="I26" s="92"/>
      <c r="J26" s="92"/>
      <c r="K26" s="92"/>
      <c r="L26" s="92"/>
    </row>
    <row r="27" spans="1:12">
      <c r="A27" s="227">
        <v>25</v>
      </c>
      <c r="B27" s="84" t="s">
        <v>85</v>
      </c>
      <c r="C27" s="329" t="s">
        <v>412</v>
      </c>
      <c r="D27" s="92">
        <v>13</v>
      </c>
      <c r="E27" s="84" t="s">
        <v>85</v>
      </c>
      <c r="F27" s="329" t="s">
        <v>412</v>
      </c>
      <c r="G27" s="92"/>
      <c r="H27" s="92"/>
      <c r="I27" s="92"/>
      <c r="J27" s="92"/>
      <c r="K27" s="92"/>
      <c r="L27" s="92"/>
    </row>
    <row r="28" spans="1:12">
      <c r="A28" s="92">
        <v>26</v>
      </c>
      <c r="B28" s="305" t="s">
        <v>404</v>
      </c>
      <c r="C28" s="363" t="s">
        <v>420</v>
      </c>
      <c r="D28" s="92"/>
      <c r="E28" s="92"/>
      <c r="F28" s="92"/>
      <c r="G28" s="92"/>
      <c r="H28" s="92"/>
      <c r="I28" s="92"/>
      <c r="J28" s="92"/>
      <c r="K28" s="92"/>
      <c r="L28" s="92"/>
    </row>
    <row r="29" spans="1:12">
      <c r="A29" s="227">
        <v>27</v>
      </c>
      <c r="B29" s="306" t="s">
        <v>405</v>
      </c>
      <c r="C29" s="365" t="s">
        <v>421</v>
      </c>
      <c r="D29" s="92"/>
      <c r="E29" s="92"/>
      <c r="F29" s="92"/>
      <c r="G29" s="92"/>
      <c r="H29" s="92"/>
      <c r="I29" s="92"/>
      <c r="J29" s="92"/>
      <c r="K29" s="92"/>
      <c r="L29" s="92"/>
    </row>
    <row r="30" spans="1:12">
      <c r="A30" s="92">
        <v>28</v>
      </c>
      <c r="B30" s="84" t="s">
        <v>79</v>
      </c>
      <c r="C30" s="329" t="s">
        <v>412</v>
      </c>
      <c r="D30" s="92">
        <v>14</v>
      </c>
      <c r="E30" s="84" t="s">
        <v>79</v>
      </c>
      <c r="F30" s="329" t="s">
        <v>412</v>
      </c>
      <c r="G30" s="92"/>
      <c r="H30" s="92"/>
      <c r="I30" s="92"/>
      <c r="J30" s="92"/>
      <c r="K30" s="92"/>
      <c r="L30" s="92"/>
    </row>
    <row r="31" spans="1:12">
      <c r="A31" s="227">
        <v>29</v>
      </c>
      <c r="B31" s="84" t="s">
        <v>80</v>
      </c>
      <c r="C31" s="329" t="s">
        <v>412</v>
      </c>
      <c r="D31" s="92">
        <v>15</v>
      </c>
      <c r="E31" s="84" t="s">
        <v>80</v>
      </c>
      <c r="F31" s="329" t="s">
        <v>412</v>
      </c>
      <c r="G31" s="92"/>
      <c r="H31" s="92"/>
      <c r="I31" s="92"/>
      <c r="J31" s="92"/>
      <c r="K31" s="92"/>
      <c r="L31" s="92"/>
    </row>
    <row r="32" spans="1:12">
      <c r="A32" s="92">
        <v>30</v>
      </c>
      <c r="B32" s="232" t="s">
        <v>347</v>
      </c>
      <c r="C32" s="339" t="s">
        <v>411</v>
      </c>
      <c r="D32" s="92">
        <v>16</v>
      </c>
      <c r="E32" s="232" t="s">
        <v>347</v>
      </c>
      <c r="F32" s="339" t="s">
        <v>411</v>
      </c>
      <c r="G32" s="92">
        <v>11</v>
      </c>
      <c r="H32" s="232" t="s">
        <v>348</v>
      </c>
      <c r="I32" s="339" t="s">
        <v>411</v>
      </c>
      <c r="J32" s="92">
        <v>7</v>
      </c>
      <c r="K32" s="232" t="s">
        <v>347</v>
      </c>
      <c r="L32" s="339" t="s">
        <v>411</v>
      </c>
    </row>
    <row r="33" spans="1:12">
      <c r="A33" s="227">
        <v>31</v>
      </c>
      <c r="B33" s="224" t="s">
        <v>87</v>
      </c>
      <c r="C33" s="339" t="s">
        <v>411</v>
      </c>
      <c r="D33" s="92">
        <v>17</v>
      </c>
      <c r="E33" s="224" t="s">
        <v>87</v>
      </c>
      <c r="F33" s="339" t="s">
        <v>411</v>
      </c>
      <c r="G33" s="92">
        <v>12</v>
      </c>
      <c r="H33" s="228" t="s">
        <v>344</v>
      </c>
      <c r="I33" s="339" t="s">
        <v>411</v>
      </c>
      <c r="J33" s="92"/>
      <c r="K33" s="92"/>
      <c r="L33" s="92"/>
    </row>
    <row r="34" spans="1:12">
      <c r="A34" s="92">
        <v>32</v>
      </c>
      <c r="B34" s="231" t="s">
        <v>345</v>
      </c>
      <c r="C34" s="339" t="s">
        <v>411</v>
      </c>
      <c r="D34" s="92">
        <v>18</v>
      </c>
      <c r="E34" s="231" t="s">
        <v>345</v>
      </c>
      <c r="F34" s="339" t="s">
        <v>411</v>
      </c>
      <c r="G34" s="92">
        <v>13</v>
      </c>
      <c r="H34" s="231" t="s">
        <v>346</v>
      </c>
      <c r="I34" s="339" t="s">
        <v>411</v>
      </c>
      <c r="J34" s="92">
        <v>8</v>
      </c>
      <c r="K34" s="231" t="s">
        <v>345</v>
      </c>
      <c r="L34" s="339" t="s">
        <v>411</v>
      </c>
    </row>
    <row r="35" spans="1:12">
      <c r="A35" s="227">
        <v>33</v>
      </c>
      <c r="B35" s="84" t="s">
        <v>81</v>
      </c>
      <c r="C35" s="329" t="s">
        <v>412</v>
      </c>
      <c r="D35" s="92">
        <v>19</v>
      </c>
      <c r="E35" s="84" t="s">
        <v>81</v>
      </c>
      <c r="F35" s="329" t="s">
        <v>412</v>
      </c>
      <c r="G35" s="92"/>
      <c r="J35" s="92"/>
      <c r="K35" s="92"/>
      <c r="L35" s="329"/>
    </row>
    <row r="36" spans="1:12">
      <c r="A36" s="92">
        <v>34</v>
      </c>
      <c r="B36" s="233" t="s">
        <v>350</v>
      </c>
      <c r="C36" s="339" t="s">
        <v>411</v>
      </c>
      <c r="D36" s="92"/>
      <c r="E36" s="92"/>
      <c r="F36" s="92"/>
      <c r="G36" s="92">
        <v>14</v>
      </c>
      <c r="H36" s="234" t="s">
        <v>351</v>
      </c>
      <c r="I36" s="339" t="s">
        <v>411</v>
      </c>
      <c r="J36" s="92"/>
      <c r="K36" s="92"/>
      <c r="L36" s="92"/>
    </row>
    <row r="37" spans="1:12">
      <c r="A37" s="227">
        <v>35</v>
      </c>
      <c r="B37" s="233" t="s">
        <v>349</v>
      </c>
      <c r="C37" s="339" t="s">
        <v>411</v>
      </c>
      <c r="D37" s="92"/>
      <c r="E37" s="92"/>
      <c r="F37" s="92"/>
      <c r="G37" s="92">
        <v>15</v>
      </c>
      <c r="H37" s="234" t="s">
        <v>134</v>
      </c>
      <c r="I37" s="339" t="s">
        <v>411</v>
      </c>
      <c r="J37" s="92"/>
      <c r="K37" s="92"/>
      <c r="L37" s="92"/>
    </row>
    <row r="38" spans="1:12">
      <c r="A38" s="92">
        <v>36</v>
      </c>
      <c r="B38" s="233" t="s">
        <v>333</v>
      </c>
      <c r="C38" s="339" t="s">
        <v>411</v>
      </c>
      <c r="D38" s="92"/>
      <c r="E38" s="226"/>
      <c r="F38" s="226"/>
      <c r="G38" s="92">
        <v>16</v>
      </c>
      <c r="H38" s="235" t="s">
        <v>133</v>
      </c>
      <c r="I38" s="339" t="s">
        <v>411</v>
      </c>
      <c r="J38" s="92"/>
      <c r="K38" s="92"/>
      <c r="L38" s="92"/>
    </row>
    <row r="39" spans="1:12">
      <c r="A39" s="227">
        <v>37</v>
      </c>
      <c r="B39" s="306" t="s">
        <v>405</v>
      </c>
      <c r="C39" s="365" t="s">
        <v>421</v>
      </c>
      <c r="D39" s="92"/>
      <c r="E39" s="92"/>
      <c r="F39" s="92"/>
      <c r="J39" s="92"/>
      <c r="K39" s="92"/>
      <c r="L39" s="92"/>
    </row>
    <row r="40" spans="1:12">
      <c r="A40" s="92">
        <v>38</v>
      </c>
      <c r="B40" s="305" t="s">
        <v>404</v>
      </c>
      <c r="C40" s="363" t="s">
        <v>420</v>
      </c>
      <c r="D40" s="92"/>
      <c r="E40" s="92"/>
      <c r="F40" s="92"/>
      <c r="G40" s="92"/>
      <c r="H40" s="92"/>
      <c r="I40" s="330"/>
      <c r="J40" s="92"/>
      <c r="K40" s="92"/>
      <c r="L40" s="92"/>
    </row>
    <row r="41" spans="1:12">
      <c r="A41" s="227">
        <v>39</v>
      </c>
      <c r="B41" s="233" t="s">
        <v>198</v>
      </c>
      <c r="C41" s="339" t="s">
        <v>411</v>
      </c>
      <c r="D41" s="92"/>
      <c r="E41" s="92"/>
      <c r="F41" s="92"/>
      <c r="G41" s="92"/>
      <c r="H41" s="92"/>
      <c r="I41" s="92"/>
      <c r="J41" s="92"/>
      <c r="K41" s="92"/>
      <c r="L41" s="92"/>
    </row>
    <row r="42" spans="1:12">
      <c r="A42" s="92">
        <v>40</v>
      </c>
      <c r="B42" s="233" t="s">
        <v>199</v>
      </c>
      <c r="C42" s="339" t="s">
        <v>411</v>
      </c>
      <c r="D42" s="92"/>
      <c r="E42" s="92"/>
      <c r="F42" s="92"/>
      <c r="G42" s="92"/>
      <c r="H42" s="92"/>
      <c r="I42" s="92"/>
      <c r="J42" s="92"/>
      <c r="K42" s="92"/>
      <c r="L42" s="92"/>
    </row>
    <row r="43" spans="1:12">
      <c r="A43" s="227">
        <v>41</v>
      </c>
      <c r="B43" s="233" t="s">
        <v>200</v>
      </c>
      <c r="C43" s="339" t="s">
        <v>411</v>
      </c>
      <c r="D43" s="92"/>
      <c r="E43" s="92"/>
      <c r="F43" s="92"/>
      <c r="G43" s="92"/>
      <c r="H43" s="92"/>
      <c r="I43" s="92"/>
      <c r="J43" s="92"/>
      <c r="K43" s="92"/>
      <c r="L43" s="92"/>
    </row>
    <row r="44" spans="1:12">
      <c r="A44" s="92">
        <v>42</v>
      </c>
      <c r="B44" s="306" t="s">
        <v>405</v>
      </c>
      <c r="C44" s="365" t="s">
        <v>421</v>
      </c>
      <c r="D44" s="92"/>
      <c r="E44" s="92"/>
      <c r="F44" s="92"/>
      <c r="G44" s="92"/>
      <c r="H44" s="92"/>
      <c r="I44" s="92"/>
      <c r="J44" s="92"/>
      <c r="K44" s="92"/>
      <c r="L44" s="92"/>
    </row>
    <row r="45" spans="1:12" ht="14.5" thickBot="1">
      <c r="A45" s="227">
        <v>43</v>
      </c>
      <c r="B45" s="305" t="s">
        <v>404</v>
      </c>
      <c r="C45" s="363" t="s">
        <v>420</v>
      </c>
      <c r="D45" s="92"/>
      <c r="E45" s="92"/>
      <c r="F45" s="92"/>
      <c r="G45" s="92"/>
      <c r="H45" s="313"/>
      <c r="I45" s="92"/>
      <c r="J45" s="92"/>
      <c r="K45" s="92"/>
      <c r="L45" s="92"/>
    </row>
    <row r="46" spans="1:12" ht="15" thickTop="1" thickBot="1">
      <c r="A46" s="92">
        <v>44</v>
      </c>
      <c r="B46" s="233" t="s">
        <v>201</v>
      </c>
      <c r="C46" s="339" t="s">
        <v>411</v>
      </c>
      <c r="D46" s="92"/>
      <c r="E46" s="92"/>
      <c r="F46" s="314"/>
      <c r="G46" s="92">
        <v>17</v>
      </c>
      <c r="H46" s="372" t="s">
        <v>425</v>
      </c>
      <c r="I46" s="339" t="s">
        <v>411</v>
      </c>
      <c r="J46" s="315"/>
      <c r="K46" s="92"/>
      <c r="L46" s="92"/>
    </row>
    <row r="47" spans="1:12" ht="14.5" thickTop="1">
      <c r="A47" s="227">
        <v>45</v>
      </c>
      <c r="B47" s="233" t="s">
        <v>202</v>
      </c>
      <c r="C47" s="339" t="s">
        <v>411</v>
      </c>
      <c r="D47" s="92"/>
      <c r="E47" s="92"/>
      <c r="F47" s="92"/>
      <c r="G47" s="92"/>
      <c r="H47" s="316"/>
      <c r="I47" s="316"/>
      <c r="J47" s="92"/>
      <c r="K47" s="92"/>
      <c r="L47" s="92"/>
    </row>
    <row r="48" spans="1:12">
      <c r="A48" s="92">
        <v>46</v>
      </c>
      <c r="B48" s="233" t="s">
        <v>203</v>
      </c>
      <c r="C48" s="339" t="s">
        <v>411</v>
      </c>
      <c r="D48" s="92"/>
      <c r="E48" s="92"/>
      <c r="F48" s="92"/>
      <c r="G48" s="92"/>
      <c r="H48" s="92"/>
      <c r="I48" s="92"/>
      <c r="J48" s="92"/>
      <c r="K48" s="92"/>
      <c r="L48" s="92"/>
    </row>
    <row r="49" spans="1:12">
      <c r="A49" s="227">
        <v>47</v>
      </c>
      <c r="B49" s="233" t="s">
        <v>204</v>
      </c>
      <c r="C49" s="339" t="s">
        <v>411</v>
      </c>
      <c r="D49" s="92"/>
      <c r="E49" s="92"/>
      <c r="F49" s="92"/>
      <c r="G49" s="92"/>
      <c r="H49" s="92"/>
      <c r="I49" s="92"/>
      <c r="J49" s="92"/>
      <c r="K49" s="92"/>
      <c r="L49" s="92"/>
    </row>
    <row r="50" spans="1:12">
      <c r="A50" s="92">
        <v>48</v>
      </c>
      <c r="B50" s="230" t="s">
        <v>352</v>
      </c>
      <c r="C50" s="339" t="s">
        <v>418</v>
      </c>
      <c r="D50" s="92">
        <v>20</v>
      </c>
      <c r="E50" s="230" t="s">
        <v>352</v>
      </c>
      <c r="F50" s="339" t="s">
        <v>418</v>
      </c>
      <c r="G50" s="92">
        <v>18</v>
      </c>
      <c r="H50" s="230" t="s">
        <v>339</v>
      </c>
      <c r="I50" s="364" t="s">
        <v>413</v>
      </c>
      <c r="J50" s="92">
        <v>9</v>
      </c>
      <c r="K50" s="230" t="s">
        <v>352</v>
      </c>
      <c r="L50" s="339" t="s">
        <v>418</v>
      </c>
    </row>
    <row r="51" spans="1:12">
      <c r="A51" s="227">
        <v>49</v>
      </c>
      <c r="B51" s="230" t="s">
        <v>353</v>
      </c>
      <c r="C51" s="364" t="s">
        <v>413</v>
      </c>
      <c r="D51" s="92">
        <v>21</v>
      </c>
      <c r="E51" s="230" t="s">
        <v>353</v>
      </c>
      <c r="F51" s="364" t="s">
        <v>413</v>
      </c>
      <c r="G51" s="92">
        <v>19</v>
      </c>
      <c r="H51" s="230" t="s">
        <v>338</v>
      </c>
      <c r="I51" s="364" t="s">
        <v>413</v>
      </c>
      <c r="J51" s="92">
        <v>10</v>
      </c>
      <c r="K51" s="230" t="s">
        <v>353</v>
      </c>
      <c r="L51" s="364" t="s">
        <v>413</v>
      </c>
    </row>
    <row r="52" spans="1:12">
      <c r="A52" s="92">
        <v>50</v>
      </c>
      <c r="B52" s="306" t="s">
        <v>405</v>
      </c>
      <c r="C52" s="365" t="s">
        <v>421</v>
      </c>
      <c r="D52" s="92">
        <v>22</v>
      </c>
      <c r="E52" s="306" t="s">
        <v>405</v>
      </c>
      <c r="F52" s="365" t="s">
        <v>421</v>
      </c>
      <c r="G52" s="92">
        <v>20</v>
      </c>
      <c r="H52" s="306" t="s">
        <v>405</v>
      </c>
      <c r="I52" s="365" t="s">
        <v>421</v>
      </c>
      <c r="J52" s="92">
        <v>11</v>
      </c>
      <c r="K52" s="306" t="s">
        <v>405</v>
      </c>
      <c r="L52" s="365" t="s">
        <v>421</v>
      </c>
    </row>
    <row r="53" spans="1:12">
      <c r="A53" s="227">
        <v>51</v>
      </c>
      <c r="B53" s="305" t="s">
        <v>404</v>
      </c>
      <c r="C53" s="363" t="s">
        <v>420</v>
      </c>
      <c r="D53" s="92">
        <v>23</v>
      </c>
      <c r="E53" s="305" t="s">
        <v>404</v>
      </c>
      <c r="F53" s="363" t="s">
        <v>420</v>
      </c>
      <c r="G53" s="92">
        <v>21</v>
      </c>
      <c r="H53" s="305" t="s">
        <v>404</v>
      </c>
      <c r="I53" s="363" t="s">
        <v>420</v>
      </c>
      <c r="J53" s="92">
        <v>12</v>
      </c>
      <c r="K53" s="305" t="s">
        <v>404</v>
      </c>
      <c r="L53" s="363" t="s">
        <v>420</v>
      </c>
    </row>
    <row r="54" spans="1:12">
      <c r="A54" s="92">
        <v>52</v>
      </c>
      <c r="B54" s="232" t="s">
        <v>354</v>
      </c>
      <c r="C54" s="339" t="s">
        <v>411</v>
      </c>
      <c r="D54" s="92">
        <v>24</v>
      </c>
      <c r="E54" s="232" t="s">
        <v>354</v>
      </c>
      <c r="F54" s="339" t="s">
        <v>411</v>
      </c>
      <c r="G54" s="92"/>
      <c r="H54" s="92"/>
      <c r="I54" s="92"/>
      <c r="J54" s="92"/>
      <c r="K54" s="92"/>
      <c r="L54" s="92"/>
    </row>
    <row r="55" spans="1:12">
      <c r="A55" s="227">
        <v>53</v>
      </c>
      <c r="B55" s="232" t="s">
        <v>355</v>
      </c>
      <c r="C55" s="339" t="s">
        <v>411</v>
      </c>
      <c r="D55" s="92">
        <v>25</v>
      </c>
      <c r="E55" s="232" t="s">
        <v>355</v>
      </c>
      <c r="F55" s="339" t="s">
        <v>411</v>
      </c>
      <c r="G55" s="92"/>
      <c r="H55" s="92"/>
      <c r="I55" s="92"/>
      <c r="J55" s="92"/>
      <c r="K55" s="92"/>
      <c r="L55" s="92"/>
    </row>
    <row r="56" spans="1:12">
      <c r="A56" s="92">
        <v>54</v>
      </c>
      <c r="B56" s="232" t="s">
        <v>356</v>
      </c>
      <c r="C56" s="339" t="s">
        <v>411</v>
      </c>
      <c r="D56" s="92">
        <v>26</v>
      </c>
      <c r="E56" s="232" t="s">
        <v>356</v>
      </c>
      <c r="F56" s="339" t="s">
        <v>411</v>
      </c>
      <c r="G56" s="92"/>
      <c r="H56" s="92"/>
      <c r="I56" s="92"/>
      <c r="J56" s="92"/>
      <c r="K56" s="92"/>
      <c r="L56" s="92"/>
    </row>
    <row r="57" spans="1:12">
      <c r="A57" s="227">
        <v>55</v>
      </c>
      <c r="B57" s="305" t="s">
        <v>404</v>
      </c>
      <c r="C57" s="363" t="s">
        <v>420</v>
      </c>
      <c r="D57" s="92"/>
      <c r="E57" s="92"/>
      <c r="F57" s="328"/>
      <c r="G57" s="92"/>
      <c r="H57" s="92"/>
      <c r="I57" s="92"/>
      <c r="J57" s="92"/>
      <c r="K57" s="92"/>
      <c r="L57" s="92"/>
    </row>
    <row r="58" spans="1:12">
      <c r="A58" s="92">
        <v>56</v>
      </c>
      <c r="B58" s="306" t="s">
        <v>405</v>
      </c>
      <c r="C58" s="365" t="s">
        <v>421</v>
      </c>
      <c r="D58" s="92"/>
      <c r="E58" s="92"/>
      <c r="F58" s="328"/>
      <c r="G58" s="92"/>
      <c r="H58" s="92"/>
      <c r="I58" s="92"/>
      <c r="J58" s="92"/>
      <c r="K58" s="92"/>
      <c r="L58" s="92"/>
    </row>
    <row r="59" spans="1:12">
      <c r="A59" s="227">
        <v>57</v>
      </c>
      <c r="B59" s="230" t="s">
        <v>357</v>
      </c>
      <c r="C59" s="366" t="s">
        <v>412</v>
      </c>
      <c r="D59" s="92">
        <v>27</v>
      </c>
      <c r="E59" s="230" t="s">
        <v>357</v>
      </c>
      <c r="F59" s="366" t="s">
        <v>412</v>
      </c>
      <c r="G59" s="92">
        <v>22</v>
      </c>
      <c r="H59" s="230" t="s">
        <v>358</v>
      </c>
      <c r="I59" s="366" t="s">
        <v>412</v>
      </c>
      <c r="J59" s="92">
        <v>13</v>
      </c>
      <c r="K59" s="230" t="s">
        <v>357</v>
      </c>
      <c r="L59" s="366" t="s">
        <v>412</v>
      </c>
    </row>
    <row r="60" spans="1:12">
      <c r="A60" s="92">
        <v>58</v>
      </c>
      <c r="B60" s="230" t="s">
        <v>359</v>
      </c>
      <c r="C60" s="366" t="s">
        <v>412</v>
      </c>
      <c r="D60" s="92">
        <v>28</v>
      </c>
      <c r="E60" s="230" t="s">
        <v>359</v>
      </c>
      <c r="F60" s="366" t="s">
        <v>412</v>
      </c>
      <c r="G60" s="92">
        <v>23</v>
      </c>
      <c r="H60" s="230" t="s">
        <v>233</v>
      </c>
      <c r="I60" s="366" t="s">
        <v>412</v>
      </c>
      <c r="J60" s="92">
        <v>14</v>
      </c>
      <c r="K60" s="230" t="s">
        <v>359</v>
      </c>
      <c r="L60" s="366" t="s">
        <v>412</v>
      </c>
    </row>
    <row r="61" spans="1:12">
      <c r="A61" s="227">
        <v>59</v>
      </c>
      <c r="B61" s="232" t="s">
        <v>72</v>
      </c>
      <c r="C61" s="329" t="s">
        <v>412</v>
      </c>
      <c r="D61" s="92">
        <v>29</v>
      </c>
      <c r="E61" s="232" t="s">
        <v>72</v>
      </c>
      <c r="F61" s="329" t="s">
        <v>412</v>
      </c>
      <c r="G61" s="92">
        <v>24</v>
      </c>
      <c r="H61" s="370" t="s">
        <v>423</v>
      </c>
      <c r="I61" s="92"/>
      <c r="J61" s="92"/>
      <c r="K61" s="92"/>
      <c r="L61" s="92"/>
    </row>
    <row r="62" spans="1:12">
      <c r="A62" s="92">
        <v>60</v>
      </c>
      <c r="B62" s="232" t="s">
        <v>73</v>
      </c>
      <c r="C62" s="329" t="s">
        <v>412</v>
      </c>
      <c r="D62" s="92">
        <v>30</v>
      </c>
      <c r="E62" s="232" t="s">
        <v>73</v>
      </c>
      <c r="F62" s="329" t="s">
        <v>412</v>
      </c>
      <c r="G62" s="92"/>
      <c r="H62" s="92"/>
      <c r="I62" s="92"/>
      <c r="J62" s="92"/>
      <c r="K62" s="92"/>
      <c r="L62" s="92"/>
    </row>
    <row r="63" spans="1:12">
      <c r="A63" s="227">
        <v>61</v>
      </c>
      <c r="B63" s="232" t="s">
        <v>75</v>
      </c>
      <c r="C63" s="329" t="s">
        <v>412</v>
      </c>
      <c r="D63" s="92">
        <v>31</v>
      </c>
      <c r="E63" s="232" t="s">
        <v>75</v>
      </c>
      <c r="F63" s="329" t="s">
        <v>412</v>
      </c>
      <c r="G63" s="92"/>
      <c r="H63" s="92"/>
      <c r="I63" s="92"/>
      <c r="J63" s="92"/>
      <c r="K63" s="92"/>
      <c r="L63" s="92"/>
    </row>
    <row r="64" spans="1:12">
      <c r="A64" s="92">
        <v>62</v>
      </c>
      <c r="B64" s="223" t="s">
        <v>74</v>
      </c>
      <c r="C64" s="329" t="s">
        <v>412</v>
      </c>
      <c r="D64" s="92">
        <v>32</v>
      </c>
      <c r="E64" s="223" t="s">
        <v>74</v>
      </c>
      <c r="F64" s="329" t="s">
        <v>412</v>
      </c>
      <c r="G64" s="92"/>
      <c r="H64" s="92"/>
      <c r="I64" s="92"/>
      <c r="J64" s="92"/>
      <c r="K64" s="92"/>
      <c r="L64" s="92"/>
    </row>
    <row r="65" spans="1:12">
      <c r="A65" s="227">
        <v>63</v>
      </c>
      <c r="B65" s="223" t="s">
        <v>71</v>
      </c>
      <c r="C65" s="329" t="s">
        <v>412</v>
      </c>
      <c r="D65" s="92">
        <v>33</v>
      </c>
      <c r="E65" s="223" t="s">
        <v>71</v>
      </c>
      <c r="F65" s="329" t="s">
        <v>412</v>
      </c>
      <c r="G65" s="92"/>
      <c r="H65" s="92"/>
      <c r="I65" s="92"/>
      <c r="J65" s="92"/>
      <c r="K65" s="92"/>
      <c r="L65" s="92"/>
    </row>
    <row r="66" spans="1:12">
      <c r="A66" s="92">
        <v>64</v>
      </c>
      <c r="B66" s="223" t="s">
        <v>68</v>
      </c>
      <c r="C66" s="329" t="s">
        <v>412</v>
      </c>
      <c r="D66" s="92">
        <v>34</v>
      </c>
      <c r="E66" s="223" t="s">
        <v>68</v>
      </c>
      <c r="F66" s="329" t="s">
        <v>412</v>
      </c>
      <c r="G66" s="92">
        <v>25</v>
      </c>
      <c r="H66" s="370" t="s">
        <v>423</v>
      </c>
      <c r="I66" s="92"/>
      <c r="J66" s="92"/>
      <c r="K66" s="92"/>
      <c r="L66" s="92"/>
    </row>
    <row r="67" spans="1:12">
      <c r="A67" s="227">
        <v>65</v>
      </c>
      <c r="B67" s="236" t="s">
        <v>360</v>
      </c>
      <c r="C67" s="339" t="s">
        <v>411</v>
      </c>
      <c r="D67" s="92">
        <v>35</v>
      </c>
      <c r="E67" s="236" t="s">
        <v>360</v>
      </c>
      <c r="F67" s="339" t="s">
        <v>411</v>
      </c>
      <c r="G67" s="92">
        <v>26</v>
      </c>
      <c r="H67" s="236" t="s">
        <v>361</v>
      </c>
      <c r="I67" s="339" t="s">
        <v>411</v>
      </c>
      <c r="J67" s="92"/>
      <c r="K67" s="92"/>
      <c r="L67" s="92"/>
    </row>
    <row r="68" spans="1:12">
      <c r="A68" s="92">
        <v>66</v>
      </c>
      <c r="B68" s="237" t="s">
        <v>362</v>
      </c>
      <c r="C68" s="339" t="s">
        <v>411</v>
      </c>
      <c r="D68" s="92">
        <v>36</v>
      </c>
      <c r="E68" s="237" t="s">
        <v>362</v>
      </c>
      <c r="F68" s="339" t="s">
        <v>411</v>
      </c>
      <c r="G68" s="92">
        <v>27</v>
      </c>
      <c r="H68" s="237" t="s">
        <v>362</v>
      </c>
      <c r="I68" s="339" t="s">
        <v>411</v>
      </c>
      <c r="J68" s="92">
        <v>15</v>
      </c>
      <c r="K68" s="237" t="s">
        <v>362</v>
      </c>
      <c r="L68" s="339" t="s">
        <v>411</v>
      </c>
    </row>
    <row r="69" spans="1:12">
      <c r="A69" s="227">
        <v>67</v>
      </c>
      <c r="B69" s="237" t="s">
        <v>363</v>
      </c>
      <c r="C69" s="339" t="s">
        <v>411</v>
      </c>
      <c r="D69" s="92">
        <v>37</v>
      </c>
      <c r="E69" s="237" t="s">
        <v>363</v>
      </c>
      <c r="F69" s="339" t="s">
        <v>411</v>
      </c>
      <c r="G69" s="92"/>
      <c r="H69" s="92"/>
      <c r="I69" s="92"/>
      <c r="J69" s="92">
        <v>16</v>
      </c>
      <c r="K69" s="237" t="s">
        <v>363</v>
      </c>
      <c r="L69" s="339" t="s">
        <v>411</v>
      </c>
    </row>
    <row r="70" spans="1:12" ht="14.5" thickBot="1">
      <c r="A70" s="92">
        <v>68</v>
      </c>
      <c r="B70" s="331" t="s">
        <v>159</v>
      </c>
      <c r="C70" s="339" t="s">
        <v>411</v>
      </c>
      <c r="D70" s="92">
        <v>38</v>
      </c>
      <c r="E70" s="238" t="s">
        <v>159</v>
      </c>
      <c r="F70" s="339" t="s">
        <v>411</v>
      </c>
      <c r="G70" s="92">
        <v>28</v>
      </c>
      <c r="H70" s="238" t="s">
        <v>364</v>
      </c>
      <c r="I70" s="339" t="s">
        <v>411</v>
      </c>
      <c r="J70" s="92">
        <v>17</v>
      </c>
      <c r="K70" s="237" t="s">
        <v>159</v>
      </c>
      <c r="L70" s="339" t="s">
        <v>411</v>
      </c>
    </row>
    <row r="71" spans="1:12" ht="15" thickTop="1" thickBot="1">
      <c r="A71" s="227">
        <v>69</v>
      </c>
      <c r="B71" s="332" t="s">
        <v>111</v>
      </c>
      <c r="C71" s="329" t="s">
        <v>412</v>
      </c>
      <c r="D71" s="92"/>
      <c r="E71" s="92"/>
      <c r="F71" s="92"/>
      <c r="G71" s="92"/>
      <c r="H71" s="92"/>
      <c r="I71" s="92"/>
      <c r="J71" s="92"/>
      <c r="K71" s="92"/>
      <c r="L71" s="92"/>
    </row>
    <row r="72" spans="1:12" ht="14.5" thickTop="1">
      <c r="A72" s="92">
        <v>70</v>
      </c>
      <c r="B72" s="378" t="s">
        <v>416</v>
      </c>
      <c r="C72" s="365" t="s">
        <v>421</v>
      </c>
      <c r="D72" s="92">
        <v>39</v>
      </c>
      <c r="E72" s="380" t="s">
        <v>416</v>
      </c>
      <c r="F72" s="365" t="s">
        <v>421</v>
      </c>
      <c r="G72" s="92">
        <v>29</v>
      </c>
      <c r="H72" s="380" t="s">
        <v>416</v>
      </c>
      <c r="I72" s="365" t="s">
        <v>421</v>
      </c>
      <c r="J72" s="92">
        <v>18</v>
      </c>
      <c r="K72" s="380" t="s">
        <v>416</v>
      </c>
      <c r="L72" s="365" t="s">
        <v>421</v>
      </c>
    </row>
    <row r="73" spans="1:12">
      <c r="A73" s="227">
        <v>71</v>
      </c>
      <c r="B73" s="379" t="s">
        <v>415</v>
      </c>
      <c r="C73" s="363" t="s">
        <v>420</v>
      </c>
      <c r="D73" s="92">
        <v>40</v>
      </c>
      <c r="E73" s="379" t="s">
        <v>415</v>
      </c>
      <c r="F73" s="363" t="s">
        <v>420</v>
      </c>
      <c r="G73" s="92">
        <v>30</v>
      </c>
      <c r="H73" s="379" t="s">
        <v>415</v>
      </c>
      <c r="I73" s="363" t="s">
        <v>420</v>
      </c>
      <c r="J73" s="92">
        <v>19</v>
      </c>
      <c r="K73" s="379" t="s">
        <v>415</v>
      </c>
      <c r="L73" s="363" t="s">
        <v>420</v>
      </c>
    </row>
    <row r="74" spans="1:12">
      <c r="A74" s="92">
        <v>72</v>
      </c>
      <c r="B74" s="224" t="s">
        <v>155</v>
      </c>
      <c r="C74" s="339" t="s">
        <v>411</v>
      </c>
      <c r="D74" s="92">
        <v>41</v>
      </c>
      <c r="E74" s="60" t="s">
        <v>155</v>
      </c>
      <c r="F74" s="339" t="s">
        <v>411</v>
      </c>
      <c r="G74" s="92">
        <v>31</v>
      </c>
      <c r="H74" s="60" t="s">
        <v>155</v>
      </c>
      <c r="I74" s="339" t="s">
        <v>411</v>
      </c>
      <c r="J74" s="92">
        <v>20</v>
      </c>
      <c r="K74" s="224" t="s">
        <v>155</v>
      </c>
      <c r="L74" s="339" t="s">
        <v>411</v>
      </c>
    </row>
    <row r="75" spans="1:12">
      <c r="A75" s="227">
        <v>73</v>
      </c>
      <c r="B75" s="224" t="s">
        <v>154</v>
      </c>
      <c r="C75" s="339" t="s">
        <v>411</v>
      </c>
      <c r="D75" s="92">
        <v>42</v>
      </c>
      <c r="E75" s="60" t="s">
        <v>154</v>
      </c>
      <c r="F75" s="339" t="s">
        <v>411</v>
      </c>
      <c r="G75" s="92">
        <v>32</v>
      </c>
      <c r="H75" s="60" t="s">
        <v>154</v>
      </c>
      <c r="I75" s="339" t="s">
        <v>411</v>
      </c>
      <c r="J75" s="92">
        <v>21</v>
      </c>
      <c r="K75" s="224" t="s">
        <v>154</v>
      </c>
      <c r="L75" s="339" t="s">
        <v>411</v>
      </c>
    </row>
    <row r="76" spans="1:12">
      <c r="A76" s="92">
        <v>74</v>
      </c>
      <c r="B76" s="224" t="s">
        <v>0</v>
      </c>
      <c r="C76" s="329" t="s">
        <v>412</v>
      </c>
      <c r="D76" s="92">
        <v>43</v>
      </c>
      <c r="E76" s="60" t="s">
        <v>0</v>
      </c>
      <c r="F76" s="329" t="s">
        <v>412</v>
      </c>
      <c r="G76" s="92">
        <v>33</v>
      </c>
      <c r="H76" s="60" t="s">
        <v>0</v>
      </c>
      <c r="I76" s="329" t="s">
        <v>412</v>
      </c>
      <c r="J76" s="92">
        <v>22</v>
      </c>
      <c r="K76" s="224" t="s">
        <v>0</v>
      </c>
      <c r="L76" s="329" t="s">
        <v>412</v>
      </c>
    </row>
    <row r="77" spans="1:12">
      <c r="A77" s="227">
        <v>75</v>
      </c>
      <c r="B77" s="238" t="s">
        <v>365</v>
      </c>
      <c r="C77" s="339" t="s">
        <v>411</v>
      </c>
      <c r="D77" s="92">
        <v>44</v>
      </c>
      <c r="E77" s="60" t="s">
        <v>153</v>
      </c>
      <c r="F77" s="339" t="s">
        <v>411</v>
      </c>
      <c r="G77" s="92">
        <v>34</v>
      </c>
      <c r="H77" s="60" t="s">
        <v>153</v>
      </c>
      <c r="I77" s="339" t="s">
        <v>411</v>
      </c>
      <c r="J77" s="92">
        <v>23</v>
      </c>
      <c r="K77" s="224" t="s">
        <v>153</v>
      </c>
      <c r="L77" s="339" t="s">
        <v>411</v>
      </c>
    </row>
    <row r="78" spans="1:12">
      <c r="A78" s="92">
        <v>76</v>
      </c>
      <c r="B78" s="60" t="s">
        <v>33</v>
      </c>
      <c r="C78" s="329" t="s">
        <v>412</v>
      </c>
      <c r="D78" s="92">
        <v>45</v>
      </c>
      <c r="E78" s="60" t="s">
        <v>33</v>
      </c>
      <c r="F78" s="329" t="s">
        <v>412</v>
      </c>
      <c r="G78" s="92">
        <v>35</v>
      </c>
      <c r="H78" s="60" t="s">
        <v>33</v>
      </c>
      <c r="I78" s="329" t="s">
        <v>412</v>
      </c>
      <c r="J78" s="92">
        <v>24</v>
      </c>
      <c r="K78" s="224" t="s">
        <v>33</v>
      </c>
      <c r="L78" s="329" t="s">
        <v>412</v>
      </c>
    </row>
    <row r="79" spans="1:12">
      <c r="A79" s="227">
        <v>77</v>
      </c>
      <c r="B79" s="306" t="s">
        <v>405</v>
      </c>
      <c r="C79" s="365" t="s">
        <v>421</v>
      </c>
      <c r="D79" s="92"/>
      <c r="E79" s="92"/>
      <c r="F79" s="328"/>
      <c r="G79" s="92"/>
      <c r="H79" s="92"/>
      <c r="I79" s="329"/>
      <c r="J79" s="92"/>
      <c r="K79" s="92"/>
      <c r="L79" s="92"/>
    </row>
    <row r="80" spans="1:12">
      <c r="A80" s="92">
        <v>78</v>
      </c>
      <c r="B80" s="305" t="s">
        <v>404</v>
      </c>
      <c r="C80" s="363" t="s">
        <v>420</v>
      </c>
      <c r="D80" s="92"/>
      <c r="E80" s="92"/>
      <c r="F80" s="328"/>
      <c r="G80" s="92"/>
      <c r="H80" s="92"/>
      <c r="I80" s="92"/>
      <c r="J80" s="92"/>
      <c r="K80" s="92"/>
      <c r="L80" s="92"/>
    </row>
    <row r="81" spans="1:12">
      <c r="A81" s="227">
        <v>79</v>
      </c>
      <c r="B81" s="87" t="s">
        <v>366</v>
      </c>
      <c r="C81" s="339" t="s">
        <v>411</v>
      </c>
      <c r="D81" s="92">
        <v>46</v>
      </c>
      <c r="E81" s="241" t="s">
        <v>366</v>
      </c>
      <c r="F81" s="339" t="s">
        <v>411</v>
      </c>
      <c r="G81" s="92"/>
      <c r="H81" s="92"/>
      <c r="I81" s="92"/>
      <c r="J81" s="92"/>
      <c r="K81" s="92"/>
      <c r="L81" s="92"/>
    </row>
    <row r="82" spans="1:12">
      <c r="A82" s="92">
        <v>80</v>
      </c>
      <c r="B82" s="242" t="s">
        <v>367</v>
      </c>
      <c r="C82" s="339" t="s">
        <v>411</v>
      </c>
      <c r="D82" s="92">
        <v>47</v>
      </c>
      <c r="E82" s="83" t="s">
        <v>367</v>
      </c>
      <c r="F82" s="339" t="s">
        <v>411</v>
      </c>
      <c r="G82" s="92"/>
      <c r="H82" s="92"/>
      <c r="I82" s="92"/>
      <c r="J82" s="92"/>
      <c r="K82" s="92"/>
      <c r="L82" s="92"/>
    </row>
    <row r="83" spans="1:12">
      <c r="A83" s="227">
        <v>81</v>
      </c>
      <c r="B83" s="87" t="s">
        <v>368</v>
      </c>
      <c r="C83" s="339" t="s">
        <v>411</v>
      </c>
      <c r="D83" s="92">
        <v>48</v>
      </c>
      <c r="E83" s="243" t="s">
        <v>368</v>
      </c>
      <c r="F83" s="339" t="s">
        <v>411</v>
      </c>
      <c r="G83" s="92"/>
      <c r="H83" s="92"/>
      <c r="I83" s="92"/>
      <c r="J83" s="92"/>
      <c r="K83" s="92"/>
      <c r="L83" s="92"/>
    </row>
    <row r="84" spans="1:12">
      <c r="A84" s="92">
        <v>82</v>
      </c>
      <c r="B84" s="306" t="s">
        <v>405</v>
      </c>
      <c r="C84" s="365" t="s">
        <v>421</v>
      </c>
      <c r="D84" s="92"/>
      <c r="E84" s="92"/>
      <c r="F84" s="92"/>
      <c r="G84" s="92"/>
      <c r="H84" s="92"/>
      <c r="I84" s="92"/>
      <c r="J84" s="92"/>
      <c r="K84" s="92"/>
      <c r="L84" s="92"/>
    </row>
    <row r="85" spans="1:12" ht="14.5" thickBot="1">
      <c r="A85" s="227">
        <v>83</v>
      </c>
      <c r="B85" s="333" t="s">
        <v>404</v>
      </c>
      <c r="C85" s="363" t="s">
        <v>420</v>
      </c>
      <c r="D85" s="92"/>
      <c r="E85" s="92"/>
      <c r="F85" s="92"/>
      <c r="G85" s="92"/>
      <c r="H85" s="92"/>
      <c r="I85" s="92"/>
      <c r="J85" s="92"/>
      <c r="K85" s="92"/>
      <c r="L85" s="92"/>
    </row>
    <row r="86" spans="1:12" ht="15" thickTop="1" thickBot="1">
      <c r="A86" s="92">
        <v>84</v>
      </c>
      <c r="B86" s="304" t="s">
        <v>369</v>
      </c>
      <c r="C86" s="329" t="s">
        <v>412</v>
      </c>
      <c r="D86" s="92"/>
      <c r="E86" s="92"/>
      <c r="F86" s="92"/>
      <c r="G86" s="92"/>
      <c r="H86" s="92"/>
      <c r="I86" s="92"/>
      <c r="J86" s="92"/>
      <c r="K86" s="92"/>
      <c r="L86" s="92"/>
    </row>
    <row r="87" spans="1:12" ht="14.5" thickTop="1">
      <c r="A87" s="227">
        <v>85</v>
      </c>
      <c r="B87" s="334" t="s">
        <v>213</v>
      </c>
      <c r="C87" s="339" t="s">
        <v>411</v>
      </c>
      <c r="D87" s="92"/>
      <c r="E87" s="92"/>
      <c r="F87" s="92"/>
      <c r="G87" s="92"/>
      <c r="H87" s="92"/>
      <c r="I87" s="92"/>
      <c r="J87" s="92"/>
      <c r="K87" s="92"/>
      <c r="L87" s="92"/>
    </row>
    <row r="88" spans="1:12">
      <c r="A88" s="92">
        <v>86</v>
      </c>
      <c r="B88" s="225" t="s">
        <v>212</v>
      </c>
      <c r="C88" s="339" t="s">
        <v>411</v>
      </c>
      <c r="D88" s="92"/>
      <c r="E88" s="92"/>
      <c r="F88" s="92"/>
      <c r="G88" s="92"/>
      <c r="H88" s="92"/>
      <c r="I88" s="92"/>
      <c r="J88" s="92"/>
      <c r="K88" s="92"/>
      <c r="L88" s="92"/>
    </row>
    <row r="89" spans="1:12">
      <c r="A89" s="227">
        <v>87</v>
      </c>
      <c r="B89" s="225" t="s">
        <v>211</v>
      </c>
      <c r="C89" s="339" t="s">
        <v>411</v>
      </c>
      <c r="D89" s="92"/>
      <c r="E89" s="92"/>
      <c r="F89" s="92"/>
      <c r="G89" s="92"/>
      <c r="H89" s="92"/>
      <c r="I89" s="92"/>
      <c r="J89" s="92"/>
      <c r="K89" s="92"/>
      <c r="L89" s="92"/>
    </row>
    <row r="90" spans="1:12">
      <c r="A90" s="92">
        <v>88</v>
      </c>
      <c r="B90" s="225" t="s">
        <v>210</v>
      </c>
      <c r="C90" s="339" t="s">
        <v>411</v>
      </c>
      <c r="D90" s="92"/>
      <c r="E90" s="92"/>
      <c r="F90" s="92"/>
      <c r="G90" s="92"/>
      <c r="H90" s="92"/>
      <c r="I90" s="92"/>
      <c r="J90" s="92"/>
      <c r="K90" s="92"/>
      <c r="L90" s="92"/>
    </row>
    <row r="91" spans="1:12">
      <c r="A91" s="227">
        <v>89</v>
      </c>
      <c r="B91" s="225" t="s">
        <v>209</v>
      </c>
      <c r="C91" s="339" t="s">
        <v>411</v>
      </c>
      <c r="D91" s="92"/>
      <c r="E91" s="92"/>
      <c r="F91" s="92"/>
      <c r="G91" s="92"/>
      <c r="H91" s="92"/>
      <c r="I91" s="92"/>
      <c r="J91" s="92"/>
      <c r="K91" s="92"/>
      <c r="L91" s="92"/>
    </row>
    <row r="92" spans="1:12">
      <c r="A92" s="92">
        <v>90</v>
      </c>
      <c r="B92" s="306" t="s">
        <v>405</v>
      </c>
      <c r="C92" s="365" t="s">
        <v>421</v>
      </c>
      <c r="D92" s="92"/>
      <c r="E92" s="92"/>
      <c r="F92" s="92"/>
      <c r="G92" s="92"/>
      <c r="H92" s="92"/>
      <c r="I92" s="92"/>
      <c r="J92" s="92"/>
      <c r="K92" s="92"/>
      <c r="L92" s="92"/>
    </row>
    <row r="93" spans="1:12" ht="14.5" thickBot="1">
      <c r="A93" s="227">
        <v>91</v>
      </c>
      <c r="B93" s="333" t="s">
        <v>404</v>
      </c>
      <c r="C93" s="363" t="s">
        <v>420</v>
      </c>
      <c r="D93" s="92"/>
      <c r="E93" s="92"/>
      <c r="F93" s="92"/>
      <c r="G93" s="92"/>
      <c r="H93" s="92"/>
      <c r="I93" s="92"/>
      <c r="J93" s="92"/>
      <c r="K93" s="92"/>
      <c r="L93" s="92"/>
    </row>
    <row r="94" spans="1:12" ht="15" thickTop="1" thickBot="1">
      <c r="A94" s="92">
        <v>92</v>
      </c>
      <c r="B94" s="332" t="s">
        <v>135</v>
      </c>
      <c r="C94" s="329" t="s">
        <v>412</v>
      </c>
      <c r="D94" s="92"/>
      <c r="E94" s="92"/>
      <c r="F94" s="92"/>
      <c r="G94" s="92"/>
      <c r="H94" s="92"/>
      <c r="I94" s="92"/>
      <c r="J94" s="92"/>
      <c r="K94" s="92"/>
      <c r="L94" s="92"/>
    </row>
    <row r="95" spans="1:12" s="14" customFormat="1" ht="14.5" thickTop="1">
      <c r="A95" s="227">
        <v>93</v>
      </c>
      <c r="B95" s="335" t="s">
        <v>371</v>
      </c>
      <c r="C95" s="366" t="s">
        <v>412</v>
      </c>
      <c r="D95" s="227">
        <v>50</v>
      </c>
      <c r="E95" s="244" t="s">
        <v>371</v>
      </c>
      <c r="F95" s="366" t="s">
        <v>412</v>
      </c>
      <c r="G95" s="249"/>
      <c r="H95" s="249"/>
      <c r="I95" s="249"/>
      <c r="J95" s="249"/>
      <c r="K95" s="249"/>
      <c r="L95" s="249"/>
    </row>
    <row r="96" spans="1:12">
      <c r="A96" s="92">
        <v>94</v>
      </c>
      <c r="B96" s="244" t="s">
        <v>370</v>
      </c>
      <c r="C96" s="366" t="s">
        <v>412</v>
      </c>
      <c r="D96" s="92">
        <v>51</v>
      </c>
      <c r="E96" s="244" t="s">
        <v>370</v>
      </c>
      <c r="F96" s="366" t="s">
        <v>412</v>
      </c>
      <c r="G96" s="92"/>
      <c r="H96" s="92"/>
      <c r="I96" s="92"/>
      <c r="J96" s="92"/>
      <c r="K96" s="92"/>
      <c r="L96" s="92"/>
    </row>
    <row r="97" spans="1:12">
      <c r="A97" s="227">
        <v>95</v>
      </c>
      <c r="B97" s="306" t="s">
        <v>405</v>
      </c>
      <c r="C97" s="365" t="s">
        <v>421</v>
      </c>
      <c r="D97" s="92">
        <v>52</v>
      </c>
      <c r="E97" s="306" t="s">
        <v>405</v>
      </c>
      <c r="F97" s="365" t="s">
        <v>421</v>
      </c>
      <c r="G97" s="92"/>
      <c r="H97" s="92"/>
      <c r="I97" s="92"/>
      <c r="J97" s="92"/>
      <c r="K97" s="92"/>
      <c r="L97" s="92"/>
    </row>
    <row r="98" spans="1:12">
      <c r="A98" s="92">
        <v>96</v>
      </c>
      <c r="B98" s="305" t="s">
        <v>404</v>
      </c>
      <c r="C98" s="363" t="s">
        <v>420</v>
      </c>
      <c r="D98" s="92">
        <v>53</v>
      </c>
      <c r="E98" s="305" t="s">
        <v>404</v>
      </c>
      <c r="F98" s="363" t="s">
        <v>420</v>
      </c>
      <c r="G98" s="92"/>
      <c r="H98" s="92"/>
      <c r="I98" s="92"/>
      <c r="J98" s="92"/>
      <c r="K98" s="92"/>
      <c r="L98" s="92"/>
    </row>
    <row r="99" spans="1:12">
      <c r="A99" s="227">
        <v>97</v>
      </c>
      <c r="B99" s="245" t="s">
        <v>372</v>
      </c>
      <c r="C99" s="339" t="s">
        <v>411</v>
      </c>
      <c r="D99" s="246"/>
      <c r="E99" s="92"/>
      <c r="F99" s="92"/>
      <c r="G99" s="92"/>
      <c r="H99" s="92"/>
      <c r="I99" s="92"/>
      <c r="J99" s="92"/>
      <c r="K99" s="92"/>
      <c r="L99" s="92"/>
    </row>
    <row r="100" spans="1:12">
      <c r="A100" s="92">
        <v>98</v>
      </c>
      <c r="B100" s="242" t="s">
        <v>373</v>
      </c>
      <c r="C100" s="339" t="s">
        <v>411</v>
      </c>
      <c r="D100" s="246"/>
      <c r="E100" s="92"/>
      <c r="F100" s="92"/>
      <c r="G100" s="92"/>
      <c r="H100" s="92"/>
      <c r="I100" s="92"/>
      <c r="J100" s="92"/>
      <c r="K100" s="92"/>
      <c r="L100" s="92"/>
    </row>
    <row r="101" spans="1:12">
      <c r="A101" s="227">
        <v>99</v>
      </c>
      <c r="B101" s="242" t="s">
        <v>374</v>
      </c>
      <c r="C101" s="339" t="s">
        <v>411</v>
      </c>
      <c r="D101" s="246"/>
      <c r="E101" s="92"/>
      <c r="F101" s="92"/>
      <c r="G101" s="92"/>
      <c r="H101" s="92"/>
      <c r="I101" s="92"/>
      <c r="J101" s="92"/>
      <c r="K101" s="92"/>
      <c r="L101" s="92"/>
    </row>
    <row r="102" spans="1:12">
      <c r="A102" s="92">
        <v>100</v>
      </c>
      <c r="B102" s="244" t="s">
        <v>375</v>
      </c>
      <c r="C102" s="364" t="s">
        <v>413</v>
      </c>
      <c r="D102" s="92">
        <v>54</v>
      </c>
      <c r="E102" s="244" t="s">
        <v>375</v>
      </c>
      <c r="F102" s="364" t="s">
        <v>413</v>
      </c>
      <c r="G102" s="92"/>
      <c r="H102" s="92"/>
      <c r="I102" s="92"/>
      <c r="J102" s="92"/>
      <c r="K102" s="92"/>
      <c r="L102" s="92"/>
    </row>
    <row r="103" spans="1:12">
      <c r="A103" s="227">
        <v>101</v>
      </c>
      <c r="B103" s="244" t="s">
        <v>376</v>
      </c>
      <c r="C103" s="339" t="s">
        <v>418</v>
      </c>
      <c r="D103" s="92">
        <v>55</v>
      </c>
      <c r="E103" s="244" t="s">
        <v>376</v>
      </c>
      <c r="F103" s="339" t="s">
        <v>418</v>
      </c>
      <c r="G103" s="92"/>
      <c r="H103" s="92"/>
      <c r="I103" s="92"/>
      <c r="J103" s="92"/>
      <c r="K103" s="92"/>
      <c r="L103" s="92"/>
    </row>
    <row r="104" spans="1:12">
      <c r="A104" s="92">
        <v>102</v>
      </c>
      <c r="B104" s="306" t="s">
        <v>405</v>
      </c>
      <c r="C104" s="365" t="s">
        <v>421</v>
      </c>
      <c r="D104" s="92">
        <f>D105+1</f>
        <v>60</v>
      </c>
      <c r="E104" s="306" t="s">
        <v>405</v>
      </c>
      <c r="F104" s="365" t="s">
        <v>421</v>
      </c>
      <c r="G104" s="92"/>
      <c r="H104" s="92"/>
      <c r="I104" s="92"/>
      <c r="J104" s="92"/>
      <c r="K104" s="92"/>
      <c r="L104" s="92"/>
    </row>
    <row r="105" spans="1:12">
      <c r="A105" s="227">
        <v>103</v>
      </c>
      <c r="B105" s="305" t="s">
        <v>404</v>
      </c>
      <c r="C105" s="363" t="s">
        <v>420</v>
      </c>
      <c r="D105" s="92">
        <f>D106+1</f>
        <v>59</v>
      </c>
      <c r="E105" s="305" t="s">
        <v>404</v>
      </c>
      <c r="F105" s="363" t="s">
        <v>420</v>
      </c>
      <c r="G105" s="92"/>
      <c r="H105" s="92"/>
      <c r="I105" s="92"/>
      <c r="J105" s="92"/>
      <c r="K105" s="92"/>
      <c r="L105" s="92"/>
    </row>
    <row r="106" spans="1:12" ht="14.5" thickBot="1">
      <c r="A106" s="92">
        <v>104</v>
      </c>
      <c r="B106" s="233" t="s">
        <v>377</v>
      </c>
      <c r="C106" s="339" t="s">
        <v>411</v>
      </c>
      <c r="D106" s="92">
        <v>58</v>
      </c>
      <c r="E106" s="233" t="s">
        <v>377</v>
      </c>
      <c r="F106" s="339" t="s">
        <v>411</v>
      </c>
      <c r="G106" s="313">
        <v>36</v>
      </c>
      <c r="H106" s="323" t="s">
        <v>350</v>
      </c>
      <c r="I106" s="339" t="s">
        <v>411</v>
      </c>
      <c r="J106" s="92">
        <v>25</v>
      </c>
      <c r="K106" s="248" t="s">
        <v>377</v>
      </c>
      <c r="L106" s="339" t="s">
        <v>411</v>
      </c>
    </row>
    <row r="107" spans="1:12" ht="14.5" thickTop="1">
      <c r="A107" s="227">
        <v>105</v>
      </c>
      <c r="B107" s="233" t="s">
        <v>378</v>
      </c>
      <c r="C107" s="339" t="s">
        <v>411</v>
      </c>
      <c r="D107" s="92">
        <v>59</v>
      </c>
      <c r="E107" s="322" t="s">
        <v>378</v>
      </c>
      <c r="F107" s="339" t="s">
        <v>411</v>
      </c>
      <c r="G107" s="319">
        <v>37</v>
      </c>
      <c r="H107" s="325" t="s">
        <v>337</v>
      </c>
      <c r="I107" s="339" t="s">
        <v>411</v>
      </c>
      <c r="J107" s="315">
        <v>26</v>
      </c>
      <c r="K107" s="248" t="s">
        <v>378</v>
      </c>
      <c r="L107" s="339" t="s">
        <v>411</v>
      </c>
    </row>
    <row r="108" spans="1:12" ht="14.5" thickBot="1">
      <c r="A108" s="92">
        <v>106</v>
      </c>
      <c r="B108" s="233" t="s">
        <v>380</v>
      </c>
      <c r="C108" s="339" t="s">
        <v>411</v>
      </c>
      <c r="D108" s="92">
        <v>60</v>
      </c>
      <c r="E108" s="322" t="s">
        <v>379</v>
      </c>
      <c r="F108" s="339" t="s">
        <v>411</v>
      </c>
      <c r="G108" s="320">
        <v>38</v>
      </c>
      <c r="H108" s="326" t="s">
        <v>336</v>
      </c>
      <c r="I108" s="339" t="s">
        <v>411</v>
      </c>
      <c r="J108" s="315">
        <v>27</v>
      </c>
      <c r="K108" s="248" t="s">
        <v>379</v>
      </c>
      <c r="L108" s="339" t="s">
        <v>411</v>
      </c>
    </row>
    <row r="109" spans="1:12" ht="14.5" thickTop="1">
      <c r="A109" s="227">
        <v>107</v>
      </c>
      <c r="B109" s="233" t="s">
        <v>381</v>
      </c>
      <c r="C109" s="339" t="s">
        <v>411</v>
      </c>
      <c r="D109" s="92">
        <v>61</v>
      </c>
      <c r="E109" s="233" t="s">
        <v>381</v>
      </c>
      <c r="F109" s="339" t="s">
        <v>411</v>
      </c>
      <c r="G109" s="316">
        <v>39</v>
      </c>
      <c r="H109" s="324" t="s">
        <v>382</v>
      </c>
      <c r="I109" s="339" t="s">
        <v>411</v>
      </c>
      <c r="J109" s="92">
        <f>J110+1</f>
        <v>30</v>
      </c>
      <c r="K109" s="248" t="s">
        <v>381</v>
      </c>
      <c r="L109" s="339" t="s">
        <v>411</v>
      </c>
    </row>
    <row r="110" spans="1:12">
      <c r="A110" s="92">
        <v>108</v>
      </c>
      <c r="B110" s="305" t="s">
        <v>404</v>
      </c>
      <c r="C110" s="363" t="s">
        <v>420</v>
      </c>
      <c r="D110" s="92"/>
      <c r="E110" s="249"/>
      <c r="F110" s="249"/>
      <c r="G110" s="92">
        <v>40</v>
      </c>
      <c r="H110" s="305" t="s">
        <v>404</v>
      </c>
      <c r="I110" s="363" t="s">
        <v>420</v>
      </c>
      <c r="J110" s="92">
        <v>29</v>
      </c>
      <c r="K110" s="305" t="s">
        <v>196</v>
      </c>
      <c r="L110" s="363" t="s">
        <v>420</v>
      </c>
    </row>
    <row r="111" spans="1:12" ht="14.5" thickBot="1">
      <c r="A111" s="227">
        <v>109</v>
      </c>
      <c r="B111" s="306" t="s">
        <v>405</v>
      </c>
      <c r="C111" s="365" t="s">
        <v>421</v>
      </c>
      <c r="D111" s="246"/>
      <c r="E111" s="249"/>
      <c r="F111" s="336"/>
      <c r="G111" s="313">
        <v>41</v>
      </c>
      <c r="H111" s="327" t="s">
        <v>405</v>
      </c>
      <c r="I111" s="365" t="s">
        <v>421</v>
      </c>
      <c r="J111" s="92">
        <v>30</v>
      </c>
      <c r="K111" s="306" t="s">
        <v>197</v>
      </c>
      <c r="L111" s="365" t="s">
        <v>421</v>
      </c>
    </row>
    <row r="112" spans="1:12" ht="14.5" thickTop="1">
      <c r="A112" s="92">
        <v>110</v>
      </c>
      <c r="B112" s="233" t="s">
        <v>383</v>
      </c>
      <c r="C112" s="339" t="s">
        <v>411</v>
      </c>
      <c r="D112" s="92">
        <v>62</v>
      </c>
      <c r="E112" s="322" t="s">
        <v>383</v>
      </c>
      <c r="F112" s="339" t="s">
        <v>411</v>
      </c>
      <c r="G112" s="319">
        <v>42</v>
      </c>
      <c r="H112" s="325" t="s">
        <v>387</v>
      </c>
      <c r="I112" s="339" t="s">
        <v>411</v>
      </c>
      <c r="J112" s="315">
        <v>31</v>
      </c>
      <c r="K112" s="248" t="s">
        <v>383</v>
      </c>
      <c r="L112" s="339" t="s">
        <v>411</v>
      </c>
    </row>
    <row r="113" spans="1:12" ht="14.5" thickBot="1">
      <c r="A113" s="227">
        <v>111</v>
      </c>
      <c r="B113" s="233" t="s">
        <v>384</v>
      </c>
      <c r="C113" s="339" t="s">
        <v>411</v>
      </c>
      <c r="D113" s="92">
        <v>63</v>
      </c>
      <c r="E113" s="322" t="s">
        <v>384</v>
      </c>
      <c r="F113" s="339" t="s">
        <v>411</v>
      </c>
      <c r="G113" s="320">
        <v>43</v>
      </c>
      <c r="H113" s="326" t="s">
        <v>335</v>
      </c>
      <c r="I113" s="339" t="s">
        <v>411</v>
      </c>
      <c r="J113" s="315">
        <v>32</v>
      </c>
      <c r="K113" s="248" t="s">
        <v>384</v>
      </c>
      <c r="L113" s="339" t="s">
        <v>411</v>
      </c>
    </row>
    <row r="114" spans="1:12" ht="14.5" thickTop="1">
      <c r="A114" s="92">
        <v>112</v>
      </c>
      <c r="B114" s="231" t="s">
        <v>386</v>
      </c>
      <c r="C114" s="339" t="s">
        <v>411</v>
      </c>
      <c r="D114" s="92">
        <v>64</v>
      </c>
      <c r="E114" s="250" t="s">
        <v>386</v>
      </c>
      <c r="F114" s="339" t="s">
        <v>411</v>
      </c>
      <c r="G114" s="316">
        <v>44</v>
      </c>
      <c r="H114" s="324" t="s">
        <v>385</v>
      </c>
      <c r="I114" s="339" t="s">
        <v>411</v>
      </c>
      <c r="J114" s="92"/>
      <c r="K114" s="92"/>
      <c r="L114" s="92"/>
    </row>
    <row r="115" spans="1:12">
      <c r="A115" s="227">
        <v>113</v>
      </c>
      <c r="B115" s="88" t="s">
        <v>221</v>
      </c>
      <c r="C115" s="339" t="s">
        <v>411</v>
      </c>
      <c r="D115" s="246"/>
      <c r="E115" s="92"/>
      <c r="F115" s="92"/>
      <c r="G115" s="92"/>
      <c r="H115" s="92"/>
      <c r="I115" s="92"/>
      <c r="J115" s="92"/>
      <c r="K115" s="92"/>
      <c r="L115" s="92"/>
    </row>
    <row r="116" spans="1:12">
      <c r="A116" s="92">
        <v>114</v>
      </c>
      <c r="B116" s="88" t="s">
        <v>220</v>
      </c>
      <c r="C116" s="339" t="s">
        <v>411</v>
      </c>
      <c r="D116" s="246"/>
      <c r="E116" s="92"/>
      <c r="F116" s="92"/>
      <c r="G116" s="92">
        <v>45</v>
      </c>
      <c r="H116" s="247" t="s">
        <v>396</v>
      </c>
      <c r="I116" s="339" t="s">
        <v>411</v>
      </c>
      <c r="J116" s="92"/>
      <c r="K116" s="92"/>
      <c r="L116" s="92"/>
    </row>
    <row r="117" spans="1:12">
      <c r="A117" s="227">
        <v>115</v>
      </c>
      <c r="B117" s="88" t="s">
        <v>219</v>
      </c>
      <c r="C117" s="339" t="s">
        <v>411</v>
      </c>
      <c r="D117" s="246"/>
      <c r="E117" s="92"/>
      <c r="F117" s="92"/>
      <c r="G117" s="92">
        <v>46</v>
      </c>
      <c r="H117" s="247" t="s">
        <v>349</v>
      </c>
      <c r="I117" s="339" t="s">
        <v>411</v>
      </c>
      <c r="J117" s="92"/>
      <c r="K117" s="92"/>
      <c r="L117" s="92"/>
    </row>
    <row r="118" spans="1:12">
      <c r="A118" s="92">
        <v>116</v>
      </c>
      <c r="B118" s="88" t="s">
        <v>218</v>
      </c>
      <c r="C118" s="339" t="s">
        <v>411</v>
      </c>
      <c r="D118" s="246"/>
      <c r="E118" s="92"/>
      <c r="F118" s="92"/>
      <c r="G118" s="92">
        <v>47</v>
      </c>
      <c r="H118" s="247" t="s">
        <v>388</v>
      </c>
      <c r="I118" s="339" t="s">
        <v>411</v>
      </c>
      <c r="J118" s="92"/>
      <c r="K118" s="92"/>
      <c r="L118" s="92"/>
    </row>
    <row r="119" spans="1:12">
      <c r="A119" s="227">
        <v>117</v>
      </c>
      <c r="B119" s="88" t="s">
        <v>217</v>
      </c>
      <c r="C119" s="339" t="s">
        <v>411</v>
      </c>
      <c r="D119" s="246"/>
      <c r="E119" s="92"/>
      <c r="F119" s="92"/>
      <c r="G119" s="92">
        <v>48</v>
      </c>
      <c r="H119" s="247" t="s">
        <v>389</v>
      </c>
      <c r="I119" s="339" t="s">
        <v>411</v>
      </c>
      <c r="J119" s="92"/>
      <c r="K119" s="92"/>
      <c r="L119" s="92"/>
    </row>
    <row r="120" spans="1:12">
      <c r="A120" s="92">
        <v>118</v>
      </c>
      <c r="B120" s="88" t="s">
        <v>216</v>
      </c>
      <c r="C120" s="339" t="s">
        <v>411</v>
      </c>
      <c r="D120" s="246"/>
      <c r="E120" s="92"/>
      <c r="F120" s="92"/>
      <c r="G120" s="92"/>
      <c r="H120" s="92"/>
      <c r="I120" s="92"/>
      <c r="J120" s="92"/>
      <c r="K120" s="92"/>
      <c r="L120" s="92"/>
    </row>
    <row r="121" spans="1:12">
      <c r="A121" s="227">
        <v>119</v>
      </c>
      <c r="B121" s="306" t="s">
        <v>197</v>
      </c>
      <c r="C121" s="365" t="s">
        <v>421</v>
      </c>
      <c r="D121" s="246"/>
      <c r="E121" s="92"/>
      <c r="F121" s="92"/>
      <c r="G121" s="92"/>
      <c r="H121" s="92"/>
      <c r="I121" s="92"/>
      <c r="J121" s="92"/>
      <c r="K121" s="92"/>
      <c r="L121" s="92"/>
    </row>
    <row r="122" spans="1:12">
      <c r="A122" s="92">
        <v>120</v>
      </c>
      <c r="B122" s="305" t="s">
        <v>196</v>
      </c>
      <c r="C122" s="363" t="s">
        <v>420</v>
      </c>
      <c r="D122" s="246"/>
      <c r="E122" s="92"/>
      <c r="F122" s="92"/>
      <c r="G122" s="92"/>
      <c r="H122" s="92"/>
      <c r="I122" s="92"/>
      <c r="J122" s="92"/>
      <c r="K122" s="92"/>
      <c r="L122" s="92"/>
    </row>
    <row r="123" spans="1:12">
      <c r="A123" s="227">
        <v>121</v>
      </c>
      <c r="B123" s="88" t="s">
        <v>215</v>
      </c>
      <c r="C123" s="339" t="s">
        <v>411</v>
      </c>
      <c r="D123" s="246"/>
      <c r="E123" s="92"/>
      <c r="F123" s="92"/>
      <c r="G123" s="92"/>
      <c r="H123" s="92"/>
      <c r="I123" s="92"/>
      <c r="J123" s="92"/>
      <c r="K123" s="92"/>
      <c r="L123" s="92"/>
    </row>
    <row r="124" spans="1:12">
      <c r="A124" s="92">
        <v>122</v>
      </c>
      <c r="B124" s="88" t="s">
        <v>214</v>
      </c>
      <c r="C124" s="339" t="s">
        <v>411</v>
      </c>
      <c r="D124" s="246"/>
      <c r="E124" s="92"/>
      <c r="F124" s="92"/>
      <c r="G124" s="92"/>
      <c r="H124" s="92"/>
      <c r="I124" s="92"/>
      <c r="J124" s="92"/>
      <c r="K124" s="92"/>
      <c r="L124" s="92"/>
    </row>
  </sheetData>
  <autoFilter ref="A2:L124" xr:uid="{02D95487-5219-4AF6-BF95-8BCB268F5214}"/>
  <mergeCells count="4">
    <mergeCell ref="A1:C1"/>
    <mergeCell ref="G1:I1"/>
    <mergeCell ref="J1:L1"/>
    <mergeCell ref="D1:F1"/>
  </mergeCells>
  <phoneticPr fontId="1" type="noConversion"/>
  <printOptions horizontalCentered="1" verticalCentered="1"/>
  <pageMargins left="0" right="0" top="0.39370078740157483" bottom="0.19685039370078741" header="0" footer="0"/>
  <pageSetup paperSize="9" scale="60" fitToHeight="0" pageOrder="overThenDown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85E8-15DB-4AF5-ADA3-90ED67FD5BBE}">
  <dimension ref="N12:AG33"/>
  <sheetViews>
    <sheetView zoomScale="85" zoomScaleNormal="85" workbookViewId="0">
      <selection activeCell="AG32" sqref="AG32"/>
    </sheetView>
  </sheetViews>
  <sheetFormatPr defaultRowHeight="14"/>
  <cols>
    <col min="12" max="12" width="8.90625" customWidth="1"/>
    <col min="13" max="13" width="11" customWidth="1"/>
    <col min="14" max="14" width="29.6328125" customWidth="1"/>
    <col min="15" max="32" width="3.81640625" customWidth="1"/>
    <col min="33" max="33" width="30.1796875" customWidth="1"/>
    <col min="37" max="37" width="32.81640625" customWidth="1"/>
  </cols>
  <sheetData>
    <row r="12" spans="14:33" ht="27.65" customHeight="1"/>
    <row r="13" spans="14:33" ht="168.65" customHeight="1">
      <c r="P13" s="253" t="s">
        <v>386</v>
      </c>
      <c r="Q13" s="262" t="s">
        <v>384</v>
      </c>
      <c r="R13" s="262" t="s">
        <v>383</v>
      </c>
      <c r="S13" s="262" t="s">
        <v>381</v>
      </c>
      <c r="T13" s="262" t="s">
        <v>379</v>
      </c>
      <c r="U13" s="262" t="s">
        <v>378</v>
      </c>
      <c r="V13" s="262" t="s">
        <v>377</v>
      </c>
      <c r="W13" s="255" t="s">
        <v>196</v>
      </c>
      <c r="X13" s="263" t="s">
        <v>197</v>
      </c>
      <c r="Y13" s="264" t="s">
        <v>376</v>
      </c>
      <c r="Z13" s="264" t="s">
        <v>375</v>
      </c>
      <c r="AA13" s="255" t="s">
        <v>196</v>
      </c>
      <c r="AB13" s="263" t="s">
        <v>197</v>
      </c>
      <c r="AC13" s="264" t="s">
        <v>370</v>
      </c>
      <c r="AD13" s="264" t="s">
        <v>371</v>
      </c>
      <c r="AE13" s="265" t="s">
        <v>197</v>
      </c>
    </row>
    <row r="14" spans="14:33" ht="14" customHeight="1">
      <c r="P14">
        <v>64</v>
      </c>
      <c r="Q14">
        <v>63</v>
      </c>
      <c r="R14">
        <v>62</v>
      </c>
      <c r="S14">
        <v>61</v>
      </c>
      <c r="T14">
        <v>60</v>
      </c>
      <c r="U14">
        <v>59</v>
      </c>
      <c r="V14">
        <v>58</v>
      </c>
      <c r="W14">
        <v>57</v>
      </c>
      <c r="X14">
        <v>56</v>
      </c>
      <c r="Y14">
        <v>55</v>
      </c>
      <c r="Z14">
        <v>54</v>
      </c>
      <c r="AA14">
        <v>53</v>
      </c>
      <c r="AB14">
        <v>52</v>
      </c>
      <c r="AC14">
        <v>51</v>
      </c>
      <c r="AD14">
        <v>50</v>
      </c>
      <c r="AE14">
        <v>49</v>
      </c>
    </row>
    <row r="15" spans="14:33" ht="14" customHeight="1">
      <c r="N15" s="275" t="s">
        <v>334</v>
      </c>
      <c r="O15">
        <v>1</v>
      </c>
      <c r="AF15">
        <v>48</v>
      </c>
      <c r="AG15" s="243" t="s">
        <v>368</v>
      </c>
    </row>
    <row r="16" spans="14:33" ht="14" customHeight="1">
      <c r="N16" s="276" t="s">
        <v>205</v>
      </c>
      <c r="O16">
        <v>2</v>
      </c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  <c r="AB16" s="436"/>
      <c r="AC16" s="436"/>
      <c r="AD16" s="436"/>
      <c r="AF16">
        <v>47</v>
      </c>
      <c r="AG16" s="83" t="s">
        <v>367</v>
      </c>
    </row>
    <row r="17" spans="14:33" ht="14" customHeight="1">
      <c r="N17" s="276" t="s">
        <v>206</v>
      </c>
      <c r="O17">
        <v>3</v>
      </c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  <c r="AB17" s="436"/>
      <c r="AC17" s="436"/>
      <c r="AD17" s="436"/>
      <c r="AF17">
        <v>46</v>
      </c>
      <c r="AG17" s="241" t="s">
        <v>366</v>
      </c>
    </row>
    <row r="18" spans="14:33" ht="14" customHeight="1">
      <c r="N18" s="277" t="s">
        <v>341</v>
      </c>
      <c r="O18">
        <v>4</v>
      </c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  <c r="AB18" s="436"/>
      <c r="AC18" s="436"/>
      <c r="AD18" s="436"/>
      <c r="AF18">
        <v>45</v>
      </c>
      <c r="AG18" s="60" t="s">
        <v>33</v>
      </c>
    </row>
    <row r="19" spans="14:33" ht="14" customHeight="1">
      <c r="N19" s="277" t="s">
        <v>340</v>
      </c>
      <c r="O19">
        <v>5</v>
      </c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  <c r="AB19" s="436"/>
      <c r="AC19" s="436"/>
      <c r="AD19" s="436"/>
      <c r="AF19">
        <v>44</v>
      </c>
      <c r="AG19" s="60" t="s">
        <v>153</v>
      </c>
    </row>
    <row r="20" spans="14:33" ht="14" customHeight="1">
      <c r="N20" s="277" t="s">
        <v>342</v>
      </c>
      <c r="O20">
        <v>6</v>
      </c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  <c r="AB20" s="436"/>
      <c r="AC20" s="436"/>
      <c r="AD20" s="436"/>
      <c r="AF20">
        <v>43</v>
      </c>
      <c r="AG20" s="60" t="s">
        <v>0</v>
      </c>
    </row>
    <row r="21" spans="14:33" ht="14" customHeight="1">
      <c r="N21" s="273" t="s">
        <v>196</v>
      </c>
      <c r="O21">
        <v>7</v>
      </c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  <c r="AB21" s="436"/>
      <c r="AC21" s="436"/>
      <c r="AD21" s="436"/>
      <c r="AF21">
        <v>42</v>
      </c>
      <c r="AG21" s="60" t="s">
        <v>154</v>
      </c>
    </row>
    <row r="22" spans="14:33" ht="14" customHeight="1">
      <c r="N22" s="274" t="s">
        <v>197</v>
      </c>
      <c r="O22">
        <v>8</v>
      </c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  <c r="AB22" s="436"/>
      <c r="AC22" s="436"/>
      <c r="AD22" s="436"/>
      <c r="AF22">
        <v>41</v>
      </c>
      <c r="AG22" s="60" t="s">
        <v>155</v>
      </c>
    </row>
    <row r="23" spans="14:33" ht="14" customHeight="1">
      <c r="N23" s="278" t="s">
        <v>343</v>
      </c>
      <c r="O23">
        <v>9</v>
      </c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  <c r="AB23" s="436"/>
      <c r="AC23" s="436"/>
      <c r="AD23" s="436"/>
      <c r="AF23">
        <v>40</v>
      </c>
      <c r="AG23" s="358" t="s">
        <v>415</v>
      </c>
    </row>
    <row r="24" spans="14:33" ht="14" customHeight="1">
      <c r="N24" s="276" t="s">
        <v>208</v>
      </c>
      <c r="O24">
        <v>10</v>
      </c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  <c r="AB24" s="436"/>
      <c r="AC24" s="436"/>
      <c r="AD24" s="436"/>
      <c r="AF24">
        <v>39</v>
      </c>
      <c r="AG24" s="359" t="s">
        <v>416</v>
      </c>
    </row>
    <row r="25" spans="14:33" ht="14" customHeight="1">
      <c r="N25" s="277" t="s">
        <v>330</v>
      </c>
      <c r="O25">
        <v>11</v>
      </c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  <c r="AB25" s="436"/>
      <c r="AC25" s="436"/>
      <c r="AD25" s="436"/>
      <c r="AF25">
        <v>38</v>
      </c>
      <c r="AG25" s="238" t="s">
        <v>364</v>
      </c>
    </row>
    <row r="26" spans="14:33" ht="14" customHeight="1">
      <c r="N26" s="279" t="s">
        <v>82</v>
      </c>
      <c r="O26">
        <v>12</v>
      </c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  <c r="AB26" s="436"/>
      <c r="AC26" s="436"/>
      <c r="AD26" s="436"/>
      <c r="AF26">
        <v>37</v>
      </c>
      <c r="AG26" s="237" t="s">
        <v>363</v>
      </c>
    </row>
    <row r="27" spans="14:33" ht="14" customHeight="1">
      <c r="N27" s="279" t="s">
        <v>85</v>
      </c>
      <c r="O27">
        <v>13</v>
      </c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  <c r="AB27" s="436"/>
      <c r="AC27" s="436"/>
      <c r="AD27" s="436"/>
      <c r="AF27">
        <v>36</v>
      </c>
      <c r="AG27" s="237" t="s">
        <v>362</v>
      </c>
    </row>
    <row r="28" spans="14:33" ht="14" customHeight="1">
      <c r="N28" s="279" t="s">
        <v>79</v>
      </c>
      <c r="O28">
        <v>14</v>
      </c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  <c r="AB28" s="436"/>
      <c r="AC28" s="436"/>
      <c r="AD28" s="436"/>
      <c r="AF28">
        <v>35</v>
      </c>
      <c r="AG28" s="238" t="s">
        <v>360</v>
      </c>
    </row>
    <row r="29" spans="14:33" ht="14" customHeight="1" thickBot="1">
      <c r="N29" s="299" t="s">
        <v>80</v>
      </c>
      <c r="O29">
        <v>15</v>
      </c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  <c r="AB29" s="436"/>
      <c r="AC29" s="436"/>
      <c r="AD29" s="436"/>
      <c r="AF29">
        <v>34</v>
      </c>
      <c r="AG29" s="60" t="s">
        <v>68</v>
      </c>
    </row>
    <row r="30" spans="14:33" ht="14" customHeight="1" thickTop="1" thickBot="1">
      <c r="N30" s="307" t="s">
        <v>347</v>
      </c>
      <c r="O30">
        <v>16</v>
      </c>
      <c r="AF30">
        <v>33</v>
      </c>
      <c r="AG30" s="223" t="s">
        <v>71</v>
      </c>
    </row>
    <row r="31" spans="14:33" ht="14" customHeight="1" thickTop="1" thickBot="1">
      <c r="P31">
        <v>17</v>
      </c>
      <c r="Q31">
        <v>18</v>
      </c>
      <c r="R31">
        <v>19</v>
      </c>
      <c r="S31">
        <v>20</v>
      </c>
      <c r="T31">
        <v>21</v>
      </c>
      <c r="U31">
        <v>22</v>
      </c>
      <c r="V31">
        <v>23</v>
      </c>
      <c r="W31">
        <v>24</v>
      </c>
      <c r="X31">
        <v>25</v>
      </c>
      <c r="Y31">
        <v>26</v>
      </c>
      <c r="Z31">
        <v>27</v>
      </c>
      <c r="AA31">
        <v>28</v>
      </c>
      <c r="AB31">
        <v>29</v>
      </c>
      <c r="AC31">
        <v>30</v>
      </c>
      <c r="AD31">
        <v>31</v>
      </c>
      <c r="AE31">
        <v>32</v>
      </c>
    </row>
    <row r="32" spans="14:33" ht="172.75" customHeight="1" thickTop="1" thickBot="1">
      <c r="P32" s="254" t="s">
        <v>390</v>
      </c>
      <c r="Q32" s="309" t="s">
        <v>345</v>
      </c>
      <c r="R32" s="311" t="s">
        <v>402</v>
      </c>
      <c r="S32" s="258" t="s">
        <v>352</v>
      </c>
      <c r="T32" s="258" t="s">
        <v>353</v>
      </c>
      <c r="U32" s="82" t="s">
        <v>197</v>
      </c>
      <c r="V32" s="90" t="s">
        <v>196</v>
      </c>
      <c r="W32" s="257" t="s">
        <v>354</v>
      </c>
      <c r="X32" s="257" t="s">
        <v>355</v>
      </c>
      <c r="Y32" s="257" t="s">
        <v>356</v>
      </c>
      <c r="Z32" s="258" t="s">
        <v>357</v>
      </c>
      <c r="AA32" s="258" t="s">
        <v>359</v>
      </c>
      <c r="AB32" s="257" t="s">
        <v>72</v>
      </c>
      <c r="AC32" s="257" t="s">
        <v>73</v>
      </c>
      <c r="AD32" s="257" t="s">
        <v>75</v>
      </c>
      <c r="AE32" s="261" t="s">
        <v>74</v>
      </c>
    </row>
    <row r="33" ht="14.5" thickTop="1"/>
  </sheetData>
  <sortState xmlns:xlrd2="http://schemas.microsoft.com/office/spreadsheetml/2017/richdata2" ref="AJ43:AK57">
    <sortCondition descending="1" ref="AJ43:AJ57"/>
  </sortState>
  <mergeCells count="1">
    <mergeCell ref="Q16:AD2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A8EE-F74F-4B29-A90A-04D5B895C08A}">
  <dimension ref="N13:Y24"/>
  <sheetViews>
    <sheetView topLeftCell="E1" zoomScaleNormal="100" workbookViewId="0">
      <selection activeCell="Y22" sqref="Y22"/>
    </sheetView>
  </sheetViews>
  <sheetFormatPr defaultRowHeight="14"/>
  <cols>
    <col min="13" max="13" width="9.54296875" customWidth="1"/>
    <col min="14" max="14" width="29.08984375" customWidth="1"/>
    <col min="15" max="24" width="3.81640625" customWidth="1"/>
    <col min="25" max="25" width="29.453125" customWidth="1"/>
  </cols>
  <sheetData>
    <row r="13" spans="14:25" ht="123" customHeight="1">
      <c r="P13" s="262" t="s">
        <v>384</v>
      </c>
      <c r="Q13" s="262" t="s">
        <v>383</v>
      </c>
      <c r="R13" s="263" t="s">
        <v>197</v>
      </c>
      <c r="S13" s="255" t="s">
        <v>196</v>
      </c>
      <c r="T13" s="262" t="s">
        <v>381</v>
      </c>
      <c r="U13" s="262" t="s">
        <v>379</v>
      </c>
      <c r="V13" s="262" t="s">
        <v>378</v>
      </c>
      <c r="W13" s="262" t="s">
        <v>377</v>
      </c>
    </row>
    <row r="14" spans="14:25" ht="14" customHeight="1">
      <c r="P14">
        <v>32</v>
      </c>
      <c r="Q14">
        <v>31</v>
      </c>
      <c r="R14">
        <v>30</v>
      </c>
      <c r="S14">
        <v>29</v>
      </c>
      <c r="T14">
        <v>28</v>
      </c>
      <c r="U14">
        <v>27</v>
      </c>
      <c r="V14">
        <v>26</v>
      </c>
      <c r="W14">
        <v>25</v>
      </c>
    </row>
    <row r="15" spans="14:25" ht="14" customHeight="1">
      <c r="N15" s="251" t="s">
        <v>205</v>
      </c>
      <c r="O15">
        <v>1</v>
      </c>
      <c r="X15">
        <v>24</v>
      </c>
      <c r="Y15" s="224" t="s">
        <v>33</v>
      </c>
    </row>
    <row r="16" spans="14:25" ht="14" customHeight="1">
      <c r="N16" s="251" t="s">
        <v>206</v>
      </c>
      <c r="O16">
        <v>2</v>
      </c>
      <c r="Q16" s="437"/>
      <c r="R16" s="437"/>
      <c r="S16" s="437"/>
      <c r="T16" s="437"/>
      <c r="U16" s="437"/>
      <c r="V16" s="437"/>
      <c r="X16">
        <v>23</v>
      </c>
      <c r="Y16" s="224" t="s">
        <v>153</v>
      </c>
    </row>
    <row r="17" spans="14:25" ht="14" customHeight="1">
      <c r="N17" s="252" t="s">
        <v>196</v>
      </c>
      <c r="O17">
        <v>3</v>
      </c>
      <c r="Q17" s="437"/>
      <c r="R17" s="437"/>
      <c r="S17" s="437"/>
      <c r="T17" s="437"/>
      <c r="U17" s="437"/>
      <c r="V17" s="437"/>
      <c r="X17">
        <v>22</v>
      </c>
      <c r="Y17" s="224" t="s">
        <v>0</v>
      </c>
    </row>
    <row r="18" spans="14:25" ht="14" customHeight="1">
      <c r="N18" s="270" t="s">
        <v>197</v>
      </c>
      <c r="O18">
        <v>4</v>
      </c>
      <c r="Q18" s="437"/>
      <c r="R18" s="437"/>
      <c r="S18" s="437"/>
      <c r="T18" s="437"/>
      <c r="U18" s="437"/>
      <c r="V18" s="437"/>
      <c r="X18">
        <v>21</v>
      </c>
      <c r="Y18" s="224" t="s">
        <v>154</v>
      </c>
    </row>
    <row r="19" spans="14:25" ht="14" customHeight="1">
      <c r="N19" s="251" t="s">
        <v>207</v>
      </c>
      <c r="O19">
        <v>5</v>
      </c>
      <c r="Q19" s="437"/>
      <c r="R19" s="437"/>
      <c r="S19" s="437"/>
      <c r="T19" s="437"/>
      <c r="U19" s="437"/>
      <c r="V19" s="437"/>
      <c r="X19">
        <v>20</v>
      </c>
      <c r="Y19" s="224" t="s">
        <v>155</v>
      </c>
    </row>
    <row r="20" spans="14:25" ht="14" customHeight="1" thickBot="1">
      <c r="N20" s="338" t="s">
        <v>208</v>
      </c>
      <c r="O20">
        <v>6</v>
      </c>
      <c r="Q20" s="437"/>
      <c r="R20" s="437"/>
      <c r="S20" s="437"/>
      <c r="T20" s="437"/>
      <c r="U20" s="437"/>
      <c r="V20" s="437"/>
      <c r="X20">
        <v>19</v>
      </c>
      <c r="Y20" s="240" t="s">
        <v>415</v>
      </c>
    </row>
    <row r="21" spans="14:25" ht="14" customHeight="1" thickTop="1" thickBot="1">
      <c r="N21" s="307" t="s">
        <v>347</v>
      </c>
      <c r="O21">
        <v>7</v>
      </c>
      <c r="Q21" s="437"/>
      <c r="R21" s="437"/>
      <c r="S21" s="437"/>
      <c r="T21" s="437"/>
      <c r="U21" s="437"/>
      <c r="V21" s="437"/>
      <c r="X21">
        <v>18</v>
      </c>
      <c r="Y21" s="239" t="s">
        <v>416</v>
      </c>
    </row>
    <row r="22" spans="14:25" ht="14" customHeight="1" thickTop="1" thickBot="1">
      <c r="N22" s="371" t="s">
        <v>424</v>
      </c>
      <c r="O22">
        <v>8</v>
      </c>
      <c r="X22">
        <v>17</v>
      </c>
      <c r="Y22" s="360" t="s">
        <v>417</v>
      </c>
    </row>
    <row r="23" spans="14:25" ht="14" customHeight="1" thickTop="1">
      <c r="P23">
        <v>9</v>
      </c>
      <c r="Q23">
        <v>10</v>
      </c>
      <c r="R23">
        <v>11</v>
      </c>
      <c r="S23">
        <v>12</v>
      </c>
      <c r="T23">
        <v>13</v>
      </c>
      <c r="U23">
        <v>14</v>
      </c>
      <c r="V23">
        <v>15</v>
      </c>
      <c r="W23">
        <v>16</v>
      </c>
    </row>
    <row r="24" spans="14:25" ht="149.4" customHeight="1">
      <c r="P24" s="258" t="s">
        <v>352</v>
      </c>
      <c r="Q24" s="258" t="s">
        <v>353</v>
      </c>
      <c r="R24" s="259" t="s">
        <v>197</v>
      </c>
      <c r="S24" s="260" t="s">
        <v>196</v>
      </c>
      <c r="T24" s="258" t="s">
        <v>357</v>
      </c>
      <c r="U24" s="258" t="s">
        <v>359</v>
      </c>
      <c r="V24" s="254" t="s">
        <v>362</v>
      </c>
      <c r="W24" s="254" t="s">
        <v>363</v>
      </c>
    </row>
  </sheetData>
  <sortState xmlns:xlrd2="http://schemas.microsoft.com/office/spreadsheetml/2017/richdata2" ref="AC28:AD37">
    <sortCondition descending="1" ref="AC28:AC37"/>
  </sortState>
  <mergeCells count="1">
    <mergeCell ref="Q16:V2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994E-4098-4DE7-8E9E-60B770EFB5CE}">
  <dimension ref="A1:AJ49"/>
  <sheetViews>
    <sheetView topLeftCell="E5" zoomScaleNormal="100" workbookViewId="0">
      <selection activeCell="AC26" sqref="AC26"/>
    </sheetView>
  </sheetViews>
  <sheetFormatPr defaultColWidth="8.90625" defaultRowHeight="14"/>
  <cols>
    <col min="1" max="11" width="8.90625" style="1"/>
    <col min="12" max="12" width="9.54296875" style="1" customWidth="1"/>
    <col min="13" max="13" width="5.81640625" style="1" customWidth="1"/>
    <col min="14" max="14" width="25.1796875" style="1" customWidth="1"/>
    <col min="15" max="28" width="3.81640625" style="1" customWidth="1"/>
    <col min="29" max="29" width="26.36328125" style="1" customWidth="1"/>
    <col min="30" max="31" width="8.90625" style="1"/>
    <col min="32" max="32" width="27.54296875" style="1" customWidth="1"/>
    <col min="33" max="16384" width="8.90625" style="1"/>
  </cols>
  <sheetData>
    <row r="1" spans="1:29">
      <c r="A1" s="1">
        <v>48</v>
      </c>
    </row>
    <row r="10" spans="1:29" ht="4.25" customHeight="1"/>
    <row r="11" spans="1:29" ht="10.25" hidden="1" customHeight="1"/>
    <row r="12" spans="1:29" ht="6" customHeight="1" thickBot="1"/>
    <row r="13" spans="1:29" ht="136.75" customHeight="1" thickTop="1" thickBot="1">
      <c r="P13" s="268" t="s">
        <v>389</v>
      </c>
      <c r="Q13" s="268" t="s">
        <v>388</v>
      </c>
      <c r="R13" s="269" t="s">
        <v>349</v>
      </c>
      <c r="S13" s="269" t="s">
        <v>397</v>
      </c>
      <c r="T13" s="291" t="s">
        <v>385</v>
      </c>
      <c r="U13" s="357" t="s">
        <v>335</v>
      </c>
      <c r="V13" s="357" t="s">
        <v>387</v>
      </c>
      <c r="W13" s="290" t="s">
        <v>197</v>
      </c>
      <c r="X13" s="255" t="s">
        <v>196</v>
      </c>
      <c r="Y13" s="291" t="s">
        <v>382</v>
      </c>
      <c r="Z13" s="357" t="s">
        <v>336</v>
      </c>
      <c r="AA13" s="356" t="s">
        <v>337</v>
      </c>
    </row>
    <row r="14" spans="1:29" ht="14" customHeight="1" thickTop="1" thickBot="1">
      <c r="P14" s="1">
        <v>48</v>
      </c>
      <c r="Q14" s="1">
        <v>47</v>
      </c>
      <c r="R14" s="1">
        <v>46</v>
      </c>
      <c r="S14" s="1">
        <v>45</v>
      </c>
      <c r="T14" s="1">
        <v>44</v>
      </c>
      <c r="U14" s="1">
        <v>43</v>
      </c>
      <c r="V14" s="1">
        <v>42</v>
      </c>
      <c r="W14" s="1">
        <v>41</v>
      </c>
      <c r="X14" s="1">
        <v>40</v>
      </c>
      <c r="Y14" s="1">
        <v>39</v>
      </c>
      <c r="Z14" s="1">
        <v>38</v>
      </c>
      <c r="AA14" s="1">
        <v>37</v>
      </c>
    </row>
    <row r="15" spans="1:29" ht="14" customHeight="1" thickTop="1" thickBot="1">
      <c r="N15" s="355" t="s">
        <v>399</v>
      </c>
      <c r="O15" s="1">
        <v>1</v>
      </c>
      <c r="AB15" s="1">
        <v>36</v>
      </c>
      <c r="AC15" s="337" t="s">
        <v>350</v>
      </c>
    </row>
    <row r="16" spans="1:29" ht="14" customHeight="1" thickTop="1" thickBot="1">
      <c r="N16" s="355" t="s">
        <v>398</v>
      </c>
      <c r="O16" s="1">
        <v>2</v>
      </c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B16" s="1">
        <v>35</v>
      </c>
      <c r="AC16" s="346" t="s">
        <v>130</v>
      </c>
    </row>
    <row r="17" spans="14:29" ht="14" customHeight="1" thickTop="1" thickBot="1">
      <c r="N17" s="354" t="s">
        <v>401</v>
      </c>
      <c r="O17" s="1">
        <v>3</v>
      </c>
      <c r="Q17" s="438"/>
      <c r="R17" s="438"/>
      <c r="S17" s="438"/>
      <c r="T17" s="438"/>
      <c r="U17" s="438"/>
      <c r="V17" s="438"/>
      <c r="W17" s="438"/>
      <c r="X17" s="438"/>
      <c r="Y17" s="438"/>
      <c r="Z17" s="438"/>
      <c r="AB17" s="1">
        <v>34</v>
      </c>
      <c r="AC17" s="346" t="s">
        <v>153</v>
      </c>
    </row>
    <row r="18" spans="14:29" ht="14" customHeight="1" thickTop="1" thickBot="1">
      <c r="N18" s="353" t="s">
        <v>400</v>
      </c>
      <c r="O18" s="1">
        <v>4</v>
      </c>
      <c r="Q18" s="438"/>
      <c r="R18" s="438"/>
      <c r="S18" s="438"/>
      <c r="T18" s="438"/>
      <c r="U18" s="438"/>
      <c r="V18" s="438"/>
      <c r="W18" s="438"/>
      <c r="X18" s="438"/>
      <c r="Y18" s="438"/>
      <c r="Z18" s="438"/>
      <c r="AB18" s="1">
        <v>33</v>
      </c>
      <c r="AC18" s="346" t="s">
        <v>0</v>
      </c>
    </row>
    <row r="19" spans="14:29" ht="14" customHeight="1" thickTop="1">
      <c r="N19" s="348" t="s">
        <v>391</v>
      </c>
      <c r="O19" s="1">
        <v>5</v>
      </c>
      <c r="Q19" s="438"/>
      <c r="R19" s="438"/>
      <c r="S19" s="438"/>
      <c r="T19" s="438"/>
      <c r="U19" s="438"/>
      <c r="V19" s="438"/>
      <c r="W19" s="438"/>
      <c r="X19" s="438"/>
      <c r="Y19" s="438"/>
      <c r="Z19" s="438"/>
      <c r="AB19" s="1">
        <v>32</v>
      </c>
      <c r="AC19" s="346" t="s">
        <v>154</v>
      </c>
    </row>
    <row r="20" spans="14:29" ht="14" customHeight="1">
      <c r="N20" s="348" t="s">
        <v>392</v>
      </c>
      <c r="O20" s="1">
        <v>6</v>
      </c>
      <c r="Q20" s="438"/>
      <c r="R20" s="438"/>
      <c r="S20" s="438"/>
      <c r="T20" s="438"/>
      <c r="U20" s="438"/>
      <c r="V20" s="438"/>
      <c r="W20" s="438"/>
      <c r="X20" s="438"/>
      <c r="Y20" s="438"/>
      <c r="Z20" s="438"/>
      <c r="AB20" s="1">
        <v>31</v>
      </c>
      <c r="AC20" s="346" t="s">
        <v>155</v>
      </c>
    </row>
    <row r="21" spans="14:29" ht="14" customHeight="1">
      <c r="N21" s="352" t="s">
        <v>196</v>
      </c>
      <c r="O21" s="1">
        <v>7</v>
      </c>
      <c r="Q21" s="438"/>
      <c r="R21" s="438"/>
      <c r="S21" s="438"/>
      <c r="T21" s="438"/>
      <c r="U21" s="438"/>
      <c r="V21" s="438"/>
      <c r="W21" s="438"/>
      <c r="X21" s="438"/>
      <c r="Y21" s="438"/>
      <c r="Z21" s="438"/>
      <c r="AB21" s="1">
        <v>30</v>
      </c>
      <c r="AC21" s="351" t="s">
        <v>415</v>
      </c>
    </row>
    <row r="22" spans="14:29" ht="14" customHeight="1">
      <c r="N22" s="350" t="s">
        <v>197</v>
      </c>
      <c r="O22" s="1">
        <v>8</v>
      </c>
      <c r="Q22" s="438"/>
      <c r="R22" s="438"/>
      <c r="S22" s="438"/>
      <c r="T22" s="438"/>
      <c r="U22" s="438"/>
      <c r="V22" s="438"/>
      <c r="W22" s="438"/>
      <c r="X22" s="438"/>
      <c r="Y22" s="438"/>
      <c r="Z22" s="438"/>
      <c r="AB22" s="1">
        <v>29</v>
      </c>
      <c r="AC22" s="349" t="s">
        <v>416</v>
      </c>
    </row>
    <row r="23" spans="14:29" ht="14" customHeight="1">
      <c r="N23" s="348" t="s">
        <v>393</v>
      </c>
      <c r="O23" s="1">
        <v>9</v>
      </c>
      <c r="Q23" s="438"/>
      <c r="R23" s="438"/>
      <c r="S23" s="438"/>
      <c r="T23" s="438"/>
      <c r="U23" s="438"/>
      <c r="V23" s="438"/>
      <c r="W23" s="438"/>
      <c r="X23" s="438"/>
      <c r="Y23" s="438"/>
      <c r="Z23" s="438"/>
      <c r="AB23" s="1">
        <v>28</v>
      </c>
      <c r="AC23" s="346" t="s">
        <v>364</v>
      </c>
    </row>
    <row r="24" spans="14:29" ht="14" customHeight="1" thickBot="1">
      <c r="N24" s="348" t="s">
        <v>394</v>
      </c>
      <c r="O24" s="1">
        <v>10</v>
      </c>
      <c r="Q24" s="438"/>
      <c r="R24" s="438"/>
      <c r="S24" s="438"/>
      <c r="T24" s="438"/>
      <c r="U24" s="438"/>
      <c r="V24" s="438"/>
      <c r="W24" s="438"/>
      <c r="X24" s="438"/>
      <c r="Y24" s="438"/>
      <c r="Z24" s="438"/>
      <c r="AB24" s="1">
        <v>27</v>
      </c>
      <c r="AC24" s="347" t="s">
        <v>362</v>
      </c>
    </row>
    <row r="25" spans="14:29" ht="14" customHeight="1" thickTop="1" thickBot="1">
      <c r="N25" s="307" t="s">
        <v>348</v>
      </c>
      <c r="O25" s="1">
        <v>11</v>
      </c>
      <c r="Q25" s="438"/>
      <c r="R25" s="438"/>
      <c r="S25" s="438"/>
      <c r="T25" s="438"/>
      <c r="U25" s="438"/>
      <c r="V25" s="438"/>
      <c r="W25" s="438"/>
      <c r="X25" s="438"/>
      <c r="Y25" s="438"/>
      <c r="Z25" s="438"/>
      <c r="AB25" s="1">
        <v>26</v>
      </c>
      <c r="AC25" s="346" t="s">
        <v>361</v>
      </c>
    </row>
    <row r="26" spans="14:29" ht="14" customHeight="1" thickTop="1" thickBot="1">
      <c r="N26" s="345" t="s">
        <v>344</v>
      </c>
      <c r="O26" s="1">
        <v>12</v>
      </c>
      <c r="AB26" s="1">
        <v>25</v>
      </c>
      <c r="AC26" s="344" t="s">
        <v>423</v>
      </c>
    </row>
    <row r="27" spans="14:29" ht="14" customHeight="1" thickTop="1" thickBot="1">
      <c r="P27" s="1">
        <v>13</v>
      </c>
      <c r="Q27" s="1">
        <v>14</v>
      </c>
      <c r="R27" s="1">
        <v>15</v>
      </c>
      <c r="S27" s="1">
        <v>16</v>
      </c>
      <c r="T27" s="377">
        <v>17</v>
      </c>
      <c r="U27" s="1">
        <v>18</v>
      </c>
      <c r="V27" s="1">
        <v>19</v>
      </c>
      <c r="W27" s="1">
        <v>20</v>
      </c>
      <c r="X27" s="1">
        <v>21</v>
      </c>
      <c r="Y27" s="1">
        <v>22</v>
      </c>
      <c r="Z27" s="1">
        <v>23</v>
      </c>
      <c r="AA27" s="1">
        <v>24</v>
      </c>
    </row>
    <row r="28" spans="14:29" ht="163.25" customHeight="1" thickTop="1" thickBot="1">
      <c r="P28" s="256" t="s">
        <v>346</v>
      </c>
      <c r="Q28" s="266" t="s">
        <v>351</v>
      </c>
      <c r="R28" s="266" t="s">
        <v>134</v>
      </c>
      <c r="S28" s="266" t="s">
        <v>133</v>
      </c>
      <c r="T28" s="343" t="s">
        <v>403</v>
      </c>
      <c r="U28" s="342" t="s">
        <v>339</v>
      </c>
      <c r="V28" s="342" t="s">
        <v>414</v>
      </c>
      <c r="W28" s="259" t="s">
        <v>197</v>
      </c>
      <c r="X28" s="267" t="s">
        <v>196</v>
      </c>
      <c r="Y28" s="342" t="s">
        <v>358</v>
      </c>
      <c r="Z28" s="342" t="s">
        <v>233</v>
      </c>
      <c r="AA28" s="341" t="s">
        <v>423</v>
      </c>
    </row>
    <row r="29" spans="14:29" ht="14.5" thickTop="1">
      <c r="P29" s="1">
        <v>1</v>
      </c>
      <c r="Q29" s="1">
        <v>1</v>
      </c>
      <c r="V29" s="1">
        <v>1</v>
      </c>
      <c r="W29" s="1">
        <v>1</v>
      </c>
      <c r="Z29" s="1">
        <v>1</v>
      </c>
      <c r="AA29" s="1">
        <v>1</v>
      </c>
    </row>
    <row r="49" spans="36:36">
      <c r="AJ49" s="340"/>
    </row>
  </sheetData>
  <mergeCells count="1">
    <mergeCell ref="Q16:Z2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CFB3-8894-4F13-A7FB-4A9BC63C98C6}">
  <dimension ref="L13:AU48"/>
  <sheetViews>
    <sheetView zoomScale="70" zoomScaleNormal="70" workbookViewId="0">
      <selection activeCell="AU15" sqref="AU15:AU16"/>
    </sheetView>
  </sheetViews>
  <sheetFormatPr defaultRowHeight="14"/>
  <cols>
    <col min="11" max="11" width="5.08984375" customWidth="1"/>
    <col min="12" max="13" width="8.90625" hidden="1" customWidth="1"/>
    <col min="14" max="14" width="39.08984375" customWidth="1"/>
    <col min="15" max="46" width="3.81640625" customWidth="1"/>
    <col min="47" max="47" width="31.81640625" customWidth="1"/>
    <col min="48" max="48" width="38.1796875" customWidth="1"/>
    <col min="52" max="52" width="24.81640625" customWidth="1"/>
  </cols>
  <sheetData>
    <row r="13" spans="14:47" ht="196">
      <c r="P13" s="281" t="s">
        <v>214</v>
      </c>
      <c r="Q13" s="282" t="s">
        <v>215</v>
      </c>
      <c r="R13" s="255" t="s">
        <v>196</v>
      </c>
      <c r="S13" s="263" t="s">
        <v>197</v>
      </c>
      <c r="T13" s="282" t="s">
        <v>216</v>
      </c>
      <c r="U13" s="282" t="s">
        <v>217</v>
      </c>
      <c r="V13" s="282" t="s">
        <v>218</v>
      </c>
      <c r="W13" s="282" t="s">
        <v>219</v>
      </c>
      <c r="X13" s="282" t="s">
        <v>220</v>
      </c>
      <c r="Y13" s="282" t="s">
        <v>221</v>
      </c>
      <c r="Z13" s="253" t="s">
        <v>386</v>
      </c>
      <c r="AA13" s="262" t="s">
        <v>384</v>
      </c>
      <c r="AB13" s="262" t="s">
        <v>383</v>
      </c>
      <c r="AC13" s="263" t="s">
        <v>197</v>
      </c>
      <c r="AD13" s="255" t="s">
        <v>196</v>
      </c>
      <c r="AE13" s="262" t="s">
        <v>381</v>
      </c>
      <c r="AF13" s="262" t="s">
        <v>380</v>
      </c>
      <c r="AG13" s="262" t="s">
        <v>378</v>
      </c>
      <c r="AH13" s="262" t="s">
        <v>377</v>
      </c>
      <c r="AI13" s="255" t="s">
        <v>196</v>
      </c>
      <c r="AJ13" s="263" t="s">
        <v>197</v>
      </c>
      <c r="AK13" s="264" t="s">
        <v>376</v>
      </c>
      <c r="AL13" s="264" t="s">
        <v>375</v>
      </c>
      <c r="AM13" s="283" t="s">
        <v>374</v>
      </c>
      <c r="AN13" s="283" t="s">
        <v>373</v>
      </c>
      <c r="AO13" s="284" t="s">
        <v>372</v>
      </c>
      <c r="AP13" s="255" t="s">
        <v>196</v>
      </c>
      <c r="AQ13" s="263" t="s">
        <v>197</v>
      </c>
      <c r="AR13" s="264" t="s">
        <v>370</v>
      </c>
      <c r="AS13" s="264" t="s">
        <v>371</v>
      </c>
    </row>
    <row r="14" spans="14:47" ht="14" customHeight="1" thickBot="1">
      <c r="P14">
        <f>Q14+1</f>
        <v>122</v>
      </c>
      <c r="Q14">
        <f>R14+1</f>
        <v>121</v>
      </c>
      <c r="R14">
        <f>S14+1</f>
        <v>120</v>
      </c>
      <c r="S14">
        <f t="shared" ref="S14:AQ14" si="0">T14+1</f>
        <v>119</v>
      </c>
      <c r="T14">
        <f t="shared" si="0"/>
        <v>118</v>
      </c>
      <c r="U14">
        <f t="shared" si="0"/>
        <v>117</v>
      </c>
      <c r="V14">
        <f t="shared" si="0"/>
        <v>116</v>
      </c>
      <c r="W14">
        <f t="shared" si="0"/>
        <v>115</v>
      </c>
      <c r="X14">
        <f t="shared" si="0"/>
        <v>114</v>
      </c>
      <c r="Y14">
        <f t="shared" si="0"/>
        <v>113</v>
      </c>
      <c r="Z14">
        <f t="shared" si="0"/>
        <v>112</v>
      </c>
      <c r="AA14">
        <f t="shared" si="0"/>
        <v>111</v>
      </c>
      <c r="AB14">
        <f t="shared" si="0"/>
        <v>110</v>
      </c>
      <c r="AC14">
        <f t="shared" si="0"/>
        <v>109</v>
      </c>
      <c r="AD14">
        <f t="shared" si="0"/>
        <v>108</v>
      </c>
      <c r="AE14">
        <f t="shared" si="0"/>
        <v>107</v>
      </c>
      <c r="AF14">
        <f t="shared" si="0"/>
        <v>106</v>
      </c>
      <c r="AG14">
        <f t="shared" si="0"/>
        <v>105</v>
      </c>
      <c r="AH14">
        <f t="shared" si="0"/>
        <v>104</v>
      </c>
      <c r="AI14">
        <f t="shared" si="0"/>
        <v>103</v>
      </c>
      <c r="AJ14">
        <f t="shared" si="0"/>
        <v>102</v>
      </c>
      <c r="AK14">
        <f t="shared" si="0"/>
        <v>101</v>
      </c>
      <c r="AL14">
        <f t="shared" si="0"/>
        <v>100</v>
      </c>
      <c r="AM14">
        <f t="shared" si="0"/>
        <v>99</v>
      </c>
      <c r="AN14">
        <f t="shared" si="0"/>
        <v>98</v>
      </c>
      <c r="AO14">
        <f t="shared" si="0"/>
        <v>97</v>
      </c>
      <c r="AP14">
        <f t="shared" si="0"/>
        <v>96</v>
      </c>
      <c r="AQ14">
        <f t="shared" si="0"/>
        <v>95</v>
      </c>
      <c r="AR14">
        <f>AS14+1</f>
        <v>94</v>
      </c>
      <c r="AS14">
        <v>93</v>
      </c>
    </row>
    <row r="15" spans="14:47" ht="14" customHeight="1" thickTop="1" thickBot="1">
      <c r="N15" s="271" t="s">
        <v>226</v>
      </c>
      <c r="O15">
        <v>1</v>
      </c>
      <c r="AT15">
        <f t="shared" ref="AT15:AT43" si="1">AT16+1</f>
        <v>92</v>
      </c>
      <c r="AU15" s="304" t="s">
        <v>231</v>
      </c>
    </row>
    <row r="16" spans="14:47" ht="14" customHeight="1" thickTop="1">
      <c r="N16" s="272" t="s">
        <v>223</v>
      </c>
      <c r="O16">
        <v>2</v>
      </c>
      <c r="Q16" s="428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/>
      <c r="AI16" s="429"/>
      <c r="AJ16" s="429"/>
      <c r="AK16" s="429"/>
      <c r="AL16" s="429"/>
      <c r="AM16" s="429"/>
      <c r="AN16" s="429"/>
      <c r="AO16" s="429"/>
      <c r="AP16" s="429"/>
      <c r="AQ16" s="429"/>
      <c r="AR16" s="429"/>
      <c r="AT16">
        <f t="shared" si="1"/>
        <v>91</v>
      </c>
      <c r="AU16" s="303" t="s">
        <v>196</v>
      </c>
    </row>
    <row r="17" spans="14:47" ht="14" customHeight="1">
      <c r="N17" s="272" t="s">
        <v>222</v>
      </c>
      <c r="O17">
        <v>3</v>
      </c>
      <c r="Q17" s="429"/>
      <c r="R17" s="429"/>
      <c r="S17" s="429"/>
      <c r="T17" s="429"/>
      <c r="U17" s="429"/>
      <c r="V17" s="429"/>
      <c r="W17" s="429"/>
      <c r="X17" s="429"/>
      <c r="Y17" s="429"/>
      <c r="Z17" s="429"/>
      <c r="AA17" s="429"/>
      <c r="AB17" s="429"/>
      <c r="AC17" s="429"/>
      <c r="AD17" s="429"/>
      <c r="AE17" s="429"/>
      <c r="AF17" s="429"/>
      <c r="AG17" s="429"/>
      <c r="AH17" s="429"/>
      <c r="AI17" s="429"/>
      <c r="AJ17" s="429"/>
      <c r="AK17" s="429"/>
      <c r="AL17" s="429"/>
      <c r="AM17" s="429"/>
      <c r="AN17" s="429"/>
      <c r="AO17" s="429"/>
      <c r="AP17" s="429"/>
      <c r="AQ17" s="429"/>
      <c r="AR17" s="429"/>
      <c r="AT17">
        <f t="shared" si="1"/>
        <v>90</v>
      </c>
      <c r="AU17" s="89" t="s">
        <v>197</v>
      </c>
    </row>
    <row r="18" spans="14:47" ht="14" customHeight="1" thickBot="1">
      <c r="N18" s="271" t="s">
        <v>227</v>
      </c>
      <c r="O18">
        <v>4</v>
      </c>
      <c r="Q18" s="429"/>
      <c r="R18" s="429"/>
      <c r="S18" s="429"/>
      <c r="T18" s="429"/>
      <c r="U18" s="429"/>
      <c r="V18" s="429"/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429"/>
      <c r="AJ18" s="429"/>
      <c r="AK18" s="429"/>
      <c r="AL18" s="429"/>
      <c r="AM18" s="429"/>
      <c r="AN18" s="429"/>
      <c r="AO18" s="429"/>
      <c r="AP18" s="429"/>
      <c r="AQ18" s="429"/>
      <c r="AR18" s="429"/>
      <c r="AT18">
        <f t="shared" si="1"/>
        <v>89</v>
      </c>
      <c r="AU18" s="86" t="s">
        <v>209</v>
      </c>
    </row>
    <row r="19" spans="14:47" ht="14" customHeight="1" thickBot="1">
      <c r="N19" s="273" t="s">
        <v>196</v>
      </c>
      <c r="O19">
        <v>5</v>
      </c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T19">
        <f t="shared" si="1"/>
        <v>88</v>
      </c>
      <c r="AU19" s="86" t="s">
        <v>210</v>
      </c>
    </row>
    <row r="20" spans="14:47" ht="14" customHeight="1" thickBot="1">
      <c r="N20" s="274" t="s">
        <v>197</v>
      </c>
      <c r="O20">
        <v>6</v>
      </c>
      <c r="Q20" s="429"/>
      <c r="R20" s="429"/>
      <c r="S20" s="429"/>
      <c r="T20" s="429"/>
      <c r="U20" s="429"/>
      <c r="V20" s="429"/>
      <c r="W20" s="429"/>
      <c r="X20" s="429"/>
      <c r="Y20" s="429"/>
      <c r="Z20" s="429"/>
      <c r="AA20" s="429"/>
      <c r="AB20" s="429"/>
      <c r="AC20" s="429"/>
      <c r="AD20" s="429"/>
      <c r="AE20" s="429"/>
      <c r="AF20" s="429"/>
      <c r="AG20" s="429"/>
      <c r="AH20" s="429"/>
      <c r="AI20" s="429"/>
      <c r="AJ20" s="429"/>
      <c r="AK20" s="429"/>
      <c r="AL20" s="429"/>
      <c r="AM20" s="429"/>
      <c r="AN20" s="429"/>
      <c r="AO20" s="429"/>
      <c r="AP20" s="429"/>
      <c r="AQ20" s="429"/>
      <c r="AR20" s="429"/>
      <c r="AT20">
        <f t="shared" si="1"/>
        <v>87</v>
      </c>
      <c r="AU20" s="86" t="s">
        <v>211</v>
      </c>
    </row>
    <row r="21" spans="14:47" ht="14" customHeight="1" thickBot="1">
      <c r="N21" s="272" t="s">
        <v>224</v>
      </c>
      <c r="O21">
        <v>7</v>
      </c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429"/>
      <c r="AN21" s="429"/>
      <c r="AO21" s="429"/>
      <c r="AP21" s="429"/>
      <c r="AQ21" s="429"/>
      <c r="AR21" s="429"/>
      <c r="AT21">
        <f t="shared" si="1"/>
        <v>86</v>
      </c>
      <c r="AU21" s="86" t="s">
        <v>212</v>
      </c>
    </row>
    <row r="22" spans="14:47" ht="14" customHeight="1" thickBot="1">
      <c r="N22" s="272" t="s">
        <v>225</v>
      </c>
      <c r="O22">
        <v>8</v>
      </c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29"/>
      <c r="AI22" s="429"/>
      <c r="AJ22" s="429"/>
      <c r="AK22" s="429"/>
      <c r="AL22" s="429"/>
      <c r="AM22" s="429"/>
      <c r="AN22" s="429"/>
      <c r="AO22" s="429"/>
      <c r="AP22" s="429"/>
      <c r="AQ22" s="429"/>
      <c r="AR22" s="429"/>
      <c r="AT22">
        <f t="shared" si="1"/>
        <v>85</v>
      </c>
      <c r="AU22" s="302" t="s">
        <v>213</v>
      </c>
    </row>
    <row r="23" spans="14:47" ht="14" customHeight="1" thickTop="1" thickBot="1">
      <c r="N23" s="271" t="s">
        <v>228</v>
      </c>
      <c r="O23">
        <v>9</v>
      </c>
      <c r="Q23" s="429"/>
      <c r="R23" s="429"/>
      <c r="S23" s="429"/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  <c r="AF23" s="429"/>
      <c r="AG23" s="429"/>
      <c r="AH23" s="429"/>
      <c r="AI23" s="429"/>
      <c r="AJ23" s="429"/>
      <c r="AK23" s="429"/>
      <c r="AL23" s="429"/>
      <c r="AM23" s="429"/>
      <c r="AN23" s="429"/>
      <c r="AO23" s="429"/>
      <c r="AP23" s="429"/>
      <c r="AQ23" s="429"/>
      <c r="AR23" s="429"/>
      <c r="AT23">
        <f t="shared" si="1"/>
        <v>84</v>
      </c>
      <c r="AU23" s="304" t="s">
        <v>232</v>
      </c>
    </row>
    <row r="24" spans="14:47" ht="14" customHeight="1" thickTop="1">
      <c r="N24" s="271" t="s">
        <v>229</v>
      </c>
      <c r="O24">
        <v>10</v>
      </c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29"/>
      <c r="AG24" s="429"/>
      <c r="AH24" s="429"/>
      <c r="AI24" s="429"/>
      <c r="AJ24" s="429"/>
      <c r="AK24" s="429"/>
      <c r="AL24" s="429"/>
      <c r="AM24" s="429"/>
      <c r="AN24" s="429"/>
      <c r="AO24" s="429"/>
      <c r="AP24" s="429"/>
      <c r="AQ24" s="429"/>
      <c r="AR24" s="429"/>
      <c r="AT24">
        <f t="shared" si="1"/>
        <v>83</v>
      </c>
      <c r="AU24" s="303" t="s">
        <v>196</v>
      </c>
    </row>
    <row r="25" spans="14:47" ht="14" customHeight="1">
      <c r="N25" s="275" t="s">
        <v>334</v>
      </c>
      <c r="O25">
        <v>11</v>
      </c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M25" s="429"/>
      <c r="AN25" s="429"/>
      <c r="AO25" s="429"/>
      <c r="AP25" s="429"/>
      <c r="AQ25" s="429"/>
      <c r="AR25" s="429"/>
      <c r="AT25">
        <f t="shared" si="1"/>
        <v>82</v>
      </c>
      <c r="AU25" s="89" t="s">
        <v>197</v>
      </c>
    </row>
    <row r="26" spans="14:47" ht="14" customHeight="1">
      <c r="N26" s="276" t="s">
        <v>205</v>
      </c>
      <c r="O26">
        <v>12</v>
      </c>
      <c r="Q26" s="429"/>
      <c r="R26" s="429"/>
      <c r="S26" s="429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M26" s="429"/>
      <c r="AN26" s="429"/>
      <c r="AO26" s="429"/>
      <c r="AP26" s="429"/>
      <c r="AQ26" s="429"/>
      <c r="AR26" s="429"/>
      <c r="AT26">
        <f t="shared" si="1"/>
        <v>81</v>
      </c>
      <c r="AU26" s="87" t="s">
        <v>368</v>
      </c>
    </row>
    <row r="27" spans="14:47" ht="14" customHeight="1">
      <c r="N27" s="276" t="s">
        <v>206</v>
      </c>
      <c r="O27">
        <v>13</v>
      </c>
      <c r="Q27" s="429"/>
      <c r="R27" s="429"/>
      <c r="S27" s="429"/>
      <c r="T27" s="429"/>
      <c r="U27" s="429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429"/>
      <c r="AK27" s="429"/>
      <c r="AL27" s="429"/>
      <c r="AM27" s="429"/>
      <c r="AN27" s="429"/>
      <c r="AO27" s="429"/>
      <c r="AP27" s="429"/>
      <c r="AQ27" s="429"/>
      <c r="AR27" s="429"/>
      <c r="AT27">
        <f t="shared" si="1"/>
        <v>80</v>
      </c>
      <c r="AU27" s="242" t="s">
        <v>367</v>
      </c>
    </row>
    <row r="28" spans="14:47" ht="14" customHeight="1">
      <c r="N28" s="274" t="s">
        <v>197</v>
      </c>
      <c r="O28">
        <v>14</v>
      </c>
      <c r="Q28" s="429"/>
      <c r="R28" s="429"/>
      <c r="S28" s="429"/>
      <c r="T28" s="429"/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/>
      <c r="AG28" s="429"/>
      <c r="AH28" s="429"/>
      <c r="AI28" s="429"/>
      <c r="AJ28" s="429"/>
      <c r="AK28" s="429"/>
      <c r="AL28" s="429"/>
      <c r="AM28" s="429"/>
      <c r="AN28" s="429"/>
      <c r="AO28" s="429"/>
      <c r="AP28" s="429"/>
      <c r="AQ28" s="429"/>
      <c r="AR28" s="429"/>
      <c r="AT28">
        <f t="shared" si="1"/>
        <v>79</v>
      </c>
      <c r="AU28" s="87" t="s">
        <v>366</v>
      </c>
    </row>
    <row r="29" spans="14:47" ht="14" customHeight="1">
      <c r="N29" s="273" t="s">
        <v>196</v>
      </c>
      <c r="O29">
        <v>15</v>
      </c>
      <c r="Q29" s="429"/>
      <c r="R29" s="429"/>
      <c r="S29" s="429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M29" s="429"/>
      <c r="AN29" s="429"/>
      <c r="AO29" s="429"/>
      <c r="AP29" s="429"/>
      <c r="AQ29" s="429"/>
      <c r="AR29" s="429"/>
      <c r="AT29">
        <f t="shared" si="1"/>
        <v>78</v>
      </c>
      <c r="AU29" s="303" t="s">
        <v>196</v>
      </c>
    </row>
    <row r="30" spans="14:47" ht="14" customHeight="1" thickBot="1">
      <c r="N30" s="277" t="s">
        <v>341</v>
      </c>
      <c r="O30">
        <v>16</v>
      </c>
      <c r="Q30" s="429"/>
      <c r="R30" s="429"/>
      <c r="S30" s="429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  <c r="AL30" s="429"/>
      <c r="AM30" s="429"/>
      <c r="AN30" s="429"/>
      <c r="AO30" s="429"/>
      <c r="AP30" s="429"/>
      <c r="AQ30" s="429"/>
      <c r="AR30" s="429"/>
      <c r="AT30">
        <f t="shared" si="1"/>
        <v>77</v>
      </c>
      <c r="AU30" s="89" t="s">
        <v>197</v>
      </c>
    </row>
    <row r="31" spans="14:47" ht="14" customHeight="1">
      <c r="N31" s="277" t="s">
        <v>340</v>
      </c>
      <c r="O31">
        <v>17</v>
      </c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AL31" s="429"/>
      <c r="AM31" s="429"/>
      <c r="AN31" s="429"/>
      <c r="AO31" s="429"/>
      <c r="AP31" s="429"/>
      <c r="AQ31" s="429"/>
      <c r="AR31" s="429"/>
      <c r="AT31">
        <f t="shared" si="1"/>
        <v>76</v>
      </c>
      <c r="AU31" s="58" t="s">
        <v>33</v>
      </c>
    </row>
    <row r="32" spans="14:47" ht="14" customHeight="1">
      <c r="N32" s="277" t="s">
        <v>342</v>
      </c>
      <c r="O32">
        <v>18</v>
      </c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M32" s="429"/>
      <c r="AN32" s="429"/>
      <c r="AO32" s="429"/>
      <c r="AP32" s="429"/>
      <c r="AQ32" s="429"/>
      <c r="AR32" s="429"/>
      <c r="AT32">
        <f t="shared" si="1"/>
        <v>75</v>
      </c>
      <c r="AU32" s="60" t="s">
        <v>153</v>
      </c>
    </row>
    <row r="33" spans="14:47" ht="14" customHeight="1" thickBot="1">
      <c r="N33" s="273" t="s">
        <v>196</v>
      </c>
      <c r="O33">
        <v>19</v>
      </c>
      <c r="Q33" s="429"/>
      <c r="R33" s="429"/>
      <c r="S33" s="429"/>
      <c r="T33" s="429"/>
      <c r="U33" s="429"/>
      <c r="V33" s="429"/>
      <c r="W33" s="429"/>
      <c r="X33" s="429"/>
      <c r="Y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29"/>
      <c r="AL33" s="429"/>
      <c r="AM33" s="429"/>
      <c r="AN33" s="429"/>
      <c r="AO33" s="429"/>
      <c r="AP33" s="429"/>
      <c r="AQ33" s="429"/>
      <c r="AR33" s="429"/>
      <c r="AT33">
        <f t="shared" si="1"/>
        <v>74</v>
      </c>
      <c r="AU33" s="62" t="s">
        <v>0</v>
      </c>
    </row>
    <row r="34" spans="14:47" ht="14" customHeight="1">
      <c r="N34" s="274" t="s">
        <v>197</v>
      </c>
      <c r="O34">
        <v>20</v>
      </c>
      <c r="Q34" s="429"/>
      <c r="R34" s="429"/>
      <c r="S34" s="429"/>
      <c r="T34" s="429"/>
      <c r="U34" s="429"/>
      <c r="V34" s="429"/>
      <c r="W34" s="429"/>
      <c r="X34" s="429"/>
      <c r="Y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/>
      <c r="AJ34" s="429"/>
      <c r="AK34" s="429"/>
      <c r="AL34" s="429"/>
      <c r="AM34" s="429"/>
      <c r="AN34" s="429"/>
      <c r="AO34" s="429"/>
      <c r="AP34" s="429"/>
      <c r="AQ34" s="429"/>
      <c r="AR34" s="429"/>
      <c r="AT34">
        <f t="shared" si="1"/>
        <v>73</v>
      </c>
      <c r="AU34" s="63" t="s">
        <v>154</v>
      </c>
    </row>
    <row r="35" spans="14:47" ht="14" customHeight="1" thickBot="1">
      <c r="N35" s="278" t="s">
        <v>343</v>
      </c>
      <c r="O35">
        <v>21</v>
      </c>
      <c r="Q35" s="429"/>
      <c r="R35" s="429"/>
      <c r="S35" s="429"/>
      <c r="T35" s="429"/>
      <c r="U35" s="429"/>
      <c r="V35" s="429"/>
      <c r="W35" s="429"/>
      <c r="X35" s="429"/>
      <c r="Y35" s="429"/>
      <c r="Z35" s="429"/>
      <c r="AA35" s="429"/>
      <c r="AB35" s="429"/>
      <c r="AC35" s="429"/>
      <c r="AD35" s="429"/>
      <c r="AE35" s="429"/>
      <c r="AF35" s="429"/>
      <c r="AG35" s="429"/>
      <c r="AH35" s="429"/>
      <c r="AI35" s="429"/>
      <c r="AJ35" s="429"/>
      <c r="AK35" s="429"/>
      <c r="AL35" s="429"/>
      <c r="AM35" s="429"/>
      <c r="AN35" s="429"/>
      <c r="AO35" s="429"/>
      <c r="AP35" s="429"/>
      <c r="AQ35" s="429"/>
      <c r="AR35" s="429"/>
      <c r="AT35">
        <f t="shared" si="1"/>
        <v>72</v>
      </c>
      <c r="AU35" s="62" t="s">
        <v>155</v>
      </c>
    </row>
    <row r="36" spans="14:47" ht="14" customHeight="1">
      <c r="N36" s="276" t="s">
        <v>208</v>
      </c>
      <c r="O36">
        <v>22</v>
      </c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29"/>
      <c r="AO36" s="429"/>
      <c r="AP36" s="429"/>
      <c r="AQ36" s="429"/>
      <c r="AR36" s="429"/>
      <c r="AT36">
        <f t="shared" si="1"/>
        <v>71</v>
      </c>
      <c r="AU36" s="358" t="s">
        <v>415</v>
      </c>
    </row>
    <row r="37" spans="14:47" ht="14" customHeight="1" thickBot="1">
      <c r="N37" s="277" t="s">
        <v>330</v>
      </c>
      <c r="O37">
        <v>23</v>
      </c>
      <c r="Q37" s="429"/>
      <c r="R37" s="429"/>
      <c r="S37" s="429"/>
      <c r="T37" s="429"/>
      <c r="U37" s="429"/>
      <c r="V37" s="429"/>
      <c r="W37" s="429"/>
      <c r="X37" s="429"/>
      <c r="Y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M37" s="429"/>
      <c r="AN37" s="429"/>
      <c r="AO37" s="429"/>
      <c r="AP37" s="429"/>
      <c r="AQ37" s="429"/>
      <c r="AR37" s="429"/>
      <c r="AT37">
        <f t="shared" si="1"/>
        <v>70</v>
      </c>
      <c r="AU37" s="359" t="s">
        <v>416</v>
      </c>
    </row>
    <row r="38" spans="14:47" ht="14" customHeight="1" thickTop="1" thickBot="1">
      <c r="N38" s="279" t="s">
        <v>82</v>
      </c>
      <c r="O38">
        <v>24</v>
      </c>
      <c r="Q38" s="429"/>
      <c r="R38" s="429"/>
      <c r="S38" s="429"/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  <c r="AL38" s="429"/>
      <c r="AM38" s="429"/>
      <c r="AN38" s="429"/>
      <c r="AO38" s="429"/>
      <c r="AP38" s="429"/>
      <c r="AQ38" s="429"/>
      <c r="AR38" s="429"/>
      <c r="AT38">
        <f t="shared" si="1"/>
        <v>69</v>
      </c>
      <c r="AU38" s="304" t="s">
        <v>230</v>
      </c>
    </row>
    <row r="39" spans="14:47" ht="14" customHeight="1" thickTop="1" thickBot="1">
      <c r="N39" s="279" t="s">
        <v>85</v>
      </c>
      <c r="O39">
        <v>25</v>
      </c>
      <c r="Q39" s="429"/>
      <c r="R39" s="429"/>
      <c r="S39" s="429"/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29"/>
      <c r="AL39" s="429"/>
      <c r="AM39" s="429"/>
      <c r="AN39" s="429"/>
      <c r="AO39" s="429"/>
      <c r="AP39" s="429"/>
      <c r="AQ39" s="429"/>
      <c r="AR39" s="429"/>
      <c r="AT39">
        <f t="shared" si="1"/>
        <v>68</v>
      </c>
      <c r="AU39" s="360" t="s">
        <v>417</v>
      </c>
    </row>
    <row r="40" spans="14:47" ht="14" customHeight="1">
      <c r="N40" s="273" t="s">
        <v>196</v>
      </c>
      <c r="O40">
        <v>26</v>
      </c>
      <c r="Q40" s="429"/>
      <c r="R40" s="429"/>
      <c r="S40" s="429"/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  <c r="AL40" s="429"/>
      <c r="AM40" s="429"/>
      <c r="AN40" s="429"/>
      <c r="AO40" s="429"/>
      <c r="AP40" s="429"/>
      <c r="AQ40" s="429"/>
      <c r="AR40" s="429"/>
      <c r="AT40">
        <f t="shared" si="1"/>
        <v>67</v>
      </c>
      <c r="AU40" s="237" t="s">
        <v>363</v>
      </c>
    </row>
    <row r="41" spans="14:47" ht="14" customHeight="1">
      <c r="N41" s="274" t="s">
        <v>197</v>
      </c>
      <c r="O41">
        <v>27</v>
      </c>
      <c r="Q41" s="429"/>
      <c r="R41" s="429"/>
      <c r="S41" s="429"/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T41">
        <f t="shared" si="1"/>
        <v>66</v>
      </c>
      <c r="AU41" s="237" t="s">
        <v>362</v>
      </c>
    </row>
    <row r="42" spans="14:47" ht="14" customHeight="1" thickBot="1">
      <c r="N42" s="279" t="s">
        <v>79</v>
      </c>
      <c r="O42">
        <v>28</v>
      </c>
      <c r="Q42" s="429"/>
      <c r="R42" s="429"/>
      <c r="S42" s="429"/>
      <c r="T42" s="429"/>
      <c r="U42" s="429"/>
      <c r="V42" s="429"/>
      <c r="W42" s="429"/>
      <c r="X42" s="429"/>
      <c r="Y42" s="429"/>
      <c r="Z42" s="429"/>
      <c r="AA42" s="429"/>
      <c r="AB42" s="429"/>
      <c r="AC42" s="429"/>
      <c r="AD42" s="429"/>
      <c r="AE42" s="429"/>
      <c r="AF42" s="429"/>
      <c r="AG42" s="429"/>
      <c r="AH42" s="429"/>
      <c r="AI42" s="429"/>
      <c r="AJ42" s="429"/>
      <c r="AK42" s="429"/>
      <c r="AL42" s="429"/>
      <c r="AM42" s="429"/>
      <c r="AN42" s="429"/>
      <c r="AO42" s="429"/>
      <c r="AP42" s="429"/>
      <c r="AQ42" s="429"/>
      <c r="AR42" s="429"/>
      <c r="AT42">
        <f t="shared" si="1"/>
        <v>65</v>
      </c>
      <c r="AU42" s="236" t="s">
        <v>360</v>
      </c>
    </row>
    <row r="43" spans="14:47" ht="14" customHeight="1" thickBot="1">
      <c r="N43" s="299" t="s">
        <v>80</v>
      </c>
      <c r="O43">
        <v>29</v>
      </c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  <c r="AL43" s="429"/>
      <c r="AM43" s="429"/>
      <c r="AN43" s="429"/>
      <c r="AO43" s="429"/>
      <c r="AP43" s="429"/>
      <c r="AQ43" s="429"/>
      <c r="AR43" s="429"/>
      <c r="AT43">
        <f t="shared" si="1"/>
        <v>64</v>
      </c>
      <c r="AU43" s="85" t="s">
        <v>68</v>
      </c>
    </row>
    <row r="44" spans="14:47" ht="14" customHeight="1" thickTop="1" thickBot="1">
      <c r="N44" s="307" t="s">
        <v>347</v>
      </c>
      <c r="O44">
        <v>30</v>
      </c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T44">
        <f>AT45+1</f>
        <v>63</v>
      </c>
      <c r="AU44" s="85" t="s">
        <v>71</v>
      </c>
    </row>
    <row r="45" spans="14:47" ht="14" customHeight="1" thickTop="1">
      <c r="N45" s="301" t="s">
        <v>87</v>
      </c>
      <c r="O45">
        <v>31</v>
      </c>
      <c r="T45">
        <v>5</v>
      </c>
      <c r="U45">
        <v>7</v>
      </c>
      <c r="V45">
        <v>8</v>
      </c>
      <c r="W45">
        <v>9</v>
      </c>
      <c r="X45">
        <v>10</v>
      </c>
      <c r="Y45">
        <v>11</v>
      </c>
      <c r="Z45">
        <v>12</v>
      </c>
      <c r="AA45">
        <v>13</v>
      </c>
      <c r="AB45">
        <v>14</v>
      </c>
      <c r="AC45">
        <v>15</v>
      </c>
      <c r="AT45">
        <v>62</v>
      </c>
      <c r="AU45" s="85" t="s">
        <v>74</v>
      </c>
    </row>
    <row r="46" spans="14:47" ht="14" customHeight="1" thickBot="1">
      <c r="P46">
        <v>32</v>
      </c>
      <c r="Q46">
        <v>33</v>
      </c>
      <c r="R46">
        <v>34</v>
      </c>
      <c r="S46">
        <v>35</v>
      </c>
      <c r="T46">
        <v>36</v>
      </c>
      <c r="U46">
        <v>37</v>
      </c>
      <c r="V46">
        <v>38</v>
      </c>
      <c r="W46">
        <v>39</v>
      </c>
      <c r="X46">
        <v>40</v>
      </c>
      <c r="Y46">
        <v>41</v>
      </c>
      <c r="Z46">
        <v>42</v>
      </c>
      <c r="AA46">
        <v>43</v>
      </c>
      <c r="AB46">
        <v>44</v>
      </c>
      <c r="AC46">
        <v>45</v>
      </c>
      <c r="AD46">
        <v>46</v>
      </c>
      <c r="AE46">
        <v>47</v>
      </c>
      <c r="AF46">
        <v>48</v>
      </c>
      <c r="AG46">
        <v>49</v>
      </c>
      <c r="AH46">
        <v>50</v>
      </c>
      <c r="AI46">
        <v>51</v>
      </c>
      <c r="AJ46">
        <v>52</v>
      </c>
      <c r="AK46">
        <v>53</v>
      </c>
      <c r="AL46">
        <v>54</v>
      </c>
      <c r="AM46">
        <v>55</v>
      </c>
      <c r="AN46">
        <v>56</v>
      </c>
      <c r="AO46">
        <v>57</v>
      </c>
      <c r="AP46">
        <v>58</v>
      </c>
      <c r="AQ46">
        <v>59</v>
      </c>
      <c r="AR46">
        <v>60</v>
      </c>
      <c r="AS46">
        <v>61</v>
      </c>
    </row>
    <row r="47" spans="14:47" ht="142" thickTop="1" thickBot="1">
      <c r="P47" s="309" t="s">
        <v>345</v>
      </c>
      <c r="Q47" s="311" t="s">
        <v>402</v>
      </c>
      <c r="R47" s="310" t="s">
        <v>350</v>
      </c>
      <c r="S47" s="280" t="s">
        <v>349</v>
      </c>
      <c r="T47" s="280" t="s">
        <v>333</v>
      </c>
      <c r="U47" s="259" t="s">
        <v>197</v>
      </c>
      <c r="V47" s="260" t="s">
        <v>196</v>
      </c>
      <c r="W47" s="280" t="s">
        <v>198</v>
      </c>
      <c r="X47" s="280" t="s">
        <v>199</v>
      </c>
      <c r="Y47" s="280" t="s">
        <v>200</v>
      </c>
      <c r="Z47" s="259" t="s">
        <v>197</v>
      </c>
      <c r="AA47" s="260" t="s">
        <v>196</v>
      </c>
      <c r="AB47" s="280" t="s">
        <v>201</v>
      </c>
      <c r="AC47" s="280" t="s">
        <v>202</v>
      </c>
      <c r="AD47" s="280" t="s">
        <v>203</v>
      </c>
      <c r="AE47" s="280" t="s">
        <v>204</v>
      </c>
      <c r="AF47" s="258" t="s">
        <v>352</v>
      </c>
      <c r="AG47" s="258" t="s">
        <v>353</v>
      </c>
      <c r="AH47" s="259" t="s">
        <v>197</v>
      </c>
      <c r="AI47" s="260" t="s">
        <v>196</v>
      </c>
      <c r="AJ47" s="257" t="s">
        <v>354</v>
      </c>
      <c r="AK47" s="257" t="s">
        <v>355</v>
      </c>
      <c r="AL47" s="257" t="s">
        <v>356</v>
      </c>
      <c r="AM47" s="260" t="s">
        <v>196</v>
      </c>
      <c r="AN47" s="259" t="s">
        <v>197</v>
      </c>
      <c r="AO47" s="258" t="s">
        <v>357</v>
      </c>
      <c r="AP47" s="258" t="s">
        <v>359</v>
      </c>
      <c r="AQ47" s="257" t="s">
        <v>72</v>
      </c>
      <c r="AR47" s="257" t="s">
        <v>73</v>
      </c>
      <c r="AS47" s="257" t="s">
        <v>75</v>
      </c>
    </row>
    <row r="48" spans="14:47" ht="14.5" thickTop="1"/>
  </sheetData>
  <sortState xmlns:xlrd2="http://schemas.microsoft.com/office/spreadsheetml/2017/richdata2" ref="AY56:AZ86">
    <sortCondition descending="1" ref="AY56:AY86"/>
  </sortState>
  <mergeCells count="1">
    <mergeCell ref="Q16:AR44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1100 io plan</vt:lpstr>
      <vt:lpstr>QFN64(EC2216)8X8</vt:lpstr>
      <vt:lpstr>QFN32(EC2277)5X5</vt:lpstr>
      <vt:lpstr>IO Plan 修改方案</vt:lpstr>
      <vt:lpstr>Pin List</vt:lpstr>
      <vt:lpstr>64pin</vt:lpstr>
      <vt:lpstr>32pin</vt:lpstr>
      <vt:lpstr>48pin</vt:lpstr>
      <vt:lpstr>128pin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袁吕军</dc:creator>
  <cp:lastModifiedBy>David Yuan</cp:lastModifiedBy>
  <cp:lastPrinted>2026-01-30T03:45:58Z</cp:lastPrinted>
  <dcterms:created xsi:type="dcterms:W3CDTF">2023-05-12T11:15:00Z</dcterms:created>
  <dcterms:modified xsi:type="dcterms:W3CDTF">2026-02-05T15:49:56Z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24DDC802E7724AFA958F0A2B30107CFB_12</vt:lpwstr>
  </property>
</Properties>
</file>